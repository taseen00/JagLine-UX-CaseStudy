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166925"/>
  <mc:AlternateContent xmlns:mc="http://schemas.openxmlformats.org/markup-compatibility/2006">
    <mc:Choice Requires="x15">
      <x15ac:absPath xmlns:x15ac="http://schemas.microsoft.com/office/spreadsheetml/2010/11/ac" url="/Users/naheedtaseen1/Downloads/"/>
    </mc:Choice>
  </mc:AlternateContent>
  <xr:revisionPtr revIDLastSave="0" documentId="8_{CE0B80EB-C9FF-FB44-B228-71DAAE7042F5}" xr6:coauthVersionLast="47" xr6:coauthVersionMax="47" xr10:uidLastSave="{00000000-0000-0000-0000-000000000000}"/>
  <bookViews>
    <workbookView xWindow="680" yWindow="500" windowWidth="28040" windowHeight="16020" xr2:uid="{DB2A06A8-706C-A743-92CA-0D8F2448229C}"/>
  </bookViews>
  <sheets>
    <sheet name="Performance_Matrix" sheetId="5" r:id="rId1"/>
    <sheet name="Best_estimate" sheetId="8" r:id="rId2"/>
    <sheet name="70percent" sheetId="11" r:id="rId3"/>
    <sheet name="Novice-Expert-Calculation" sheetId="9" r:id="rId4"/>
    <sheet name="Sheet1" sheetId="10" r:id="rId5"/>
    <sheet name="Metrix" sheetId="7" r:id="rId6"/>
    <sheet name="Chandan" sheetId="1" r:id="rId7"/>
    <sheet name="Kavya" sheetId="2" r:id="rId8"/>
    <sheet name="Nandini" sheetId="3" r:id="rId9"/>
    <sheet name="Unnati" sheetId="4" r:id="rId10"/>
    <sheet name="Taseen" sheetId="6"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11" l="1"/>
  <c r="N3" i="11"/>
  <c r="M13" i="11"/>
  <c r="N4" i="11"/>
  <c r="N5" i="11"/>
  <c r="N6" i="11"/>
  <c r="N7" i="11"/>
  <c r="N8" i="11"/>
  <c r="N9" i="11"/>
  <c r="N10" i="11"/>
  <c r="N11" i="11"/>
  <c r="N12" i="11"/>
  <c r="C13" i="11"/>
  <c r="D13" i="11"/>
  <c r="E13" i="11"/>
  <c r="F13" i="11"/>
  <c r="G13" i="11"/>
  <c r="H13" i="11"/>
  <c r="I13" i="11"/>
  <c r="J13" i="11"/>
  <c r="K13" i="11"/>
  <c r="L13" i="11"/>
  <c r="B13" i="11"/>
  <c r="N13" i="11" s="1"/>
  <c r="W14" i="9"/>
  <c r="X14" i="9"/>
  <c r="W15" i="9"/>
  <c r="X15" i="9"/>
  <c r="W16" i="9"/>
  <c r="X16" i="9"/>
  <c r="W8" i="9"/>
  <c r="X8" i="9"/>
  <c r="W9" i="9"/>
  <c r="X9" i="9"/>
  <c r="W10" i="9"/>
  <c r="X10" i="9"/>
  <c r="W11" i="9"/>
  <c r="X11" i="9"/>
  <c r="W2" i="9"/>
  <c r="X2" i="9"/>
  <c r="W3" i="9"/>
  <c r="X3" i="9"/>
  <c r="W4" i="9"/>
  <c r="X4" i="9"/>
  <c r="W5" i="9"/>
  <c r="X5" i="9"/>
  <c r="AB3" i="5"/>
  <c r="AB4" i="5"/>
  <c r="AB5" i="5"/>
  <c r="AB8" i="5"/>
  <c r="AB9" i="5"/>
  <c r="AB10" i="5"/>
  <c r="AB11" i="5"/>
  <c r="AB14" i="5"/>
  <c r="AB15" i="5"/>
  <c r="AB16" i="5"/>
  <c r="AB2" i="5"/>
  <c r="AA2" i="5"/>
  <c r="AA3" i="5"/>
  <c r="AA4" i="5"/>
  <c r="AA5" i="5"/>
  <c r="AA8" i="5"/>
  <c r="AA9" i="5"/>
  <c r="AA10" i="5"/>
  <c r="AA11" i="5"/>
  <c r="AA14" i="5"/>
  <c r="AA15" i="5"/>
  <c r="AA16" i="5"/>
  <c r="D18" i="6"/>
  <c r="B18" i="6"/>
  <c r="D18" i="4"/>
  <c r="B18" i="4"/>
  <c r="D18" i="3"/>
  <c r="B18" i="3"/>
  <c r="B18" i="2"/>
  <c r="D18" i="2"/>
  <c r="D18" i="1"/>
  <c r="B18" i="1"/>
</calcChain>
</file>

<file path=xl/sharedStrings.xml><?xml version="1.0" encoding="utf-8"?>
<sst xmlns="http://schemas.openxmlformats.org/spreadsheetml/2006/main" count="973" uniqueCount="135">
  <si>
    <t>Task: Finding the Bus Routes According to Your Class Schedule</t>
  </si>
  <si>
    <t>P1 Time taken (Sec)</t>
  </si>
  <si>
    <t>P1 Success/ Failure</t>
  </si>
  <si>
    <t>P2 Time taken</t>
  </si>
  <si>
    <t>Success/Failure</t>
  </si>
  <si>
    <t>P3 Time taken</t>
  </si>
  <si>
    <t>P4 Time taken</t>
  </si>
  <si>
    <t>P5 Time taken (Sec)</t>
  </si>
  <si>
    <t>P6 Time taken</t>
  </si>
  <si>
    <t>P7 Time taken</t>
  </si>
  <si>
    <t>P8 Time taken</t>
  </si>
  <si>
    <t>P9 Time taken</t>
  </si>
  <si>
    <t>P10 Time taken</t>
  </si>
  <si>
    <t>Success Count</t>
  </si>
  <si>
    <t>Best Estimates</t>
  </si>
  <si>
    <t>Low</t>
  </si>
  <si>
    <t>High</t>
  </si>
  <si>
    <t>Expert time</t>
  </si>
  <si>
    <t>Novice Avg</t>
  </si>
  <si>
    <t>Novice/Expert Ratio</t>
  </si>
  <si>
    <t>1. Enable your current location.</t>
  </si>
  <si>
    <t>Failure</t>
  </si>
  <si>
    <t>Success</t>
  </si>
  <si>
    <t>unfulfilled</t>
  </si>
  <si>
    <t>2. View only the purple line on the bus route map.</t>
  </si>
  <si>
    <t>3. Find timings on the purple line that would take you to the IT building from the campus center.</t>
  </si>
  <si>
    <t>NA</t>
  </si>
  <si>
    <t>Unfulfilled</t>
  </si>
  <si>
    <t>4. Find all the routes that would take you to the IT building from the campus center between 3:30 PM - 4:00 PM.</t>
  </si>
  <si>
    <t>Task: Choosing a Favorite Destination</t>
  </si>
  <si>
    <t>P1 Time taken</t>
  </si>
  <si>
    <t>1. Find stops that would take you near Riley Children’s Hospital.</t>
  </si>
  <si>
    <t>failure</t>
  </si>
  <si>
    <t>2. Save the route that gets you near Riley Children’s Hospital as your favorite route.</t>
  </si>
  <si>
    <t>3. Go to the favorite routes section.</t>
  </si>
  <si>
    <t>&gt;.9999</t>
  </si>
  <si>
    <t>4. Find your preferred destination on the saved route. </t>
  </si>
  <si>
    <t>Additional Task: </t>
  </si>
  <si>
    <t>1. Choose your preferred route.</t>
  </si>
  <si>
    <t>2. Choose your preferred stop.</t>
  </si>
  <si>
    <t>3. Turn on the notifications for that stop.</t>
  </si>
  <si>
    <t>4. Keep an eye on your mobile for the stop notification.</t>
  </si>
  <si>
    <t xml:space="preserve">Unfulfilled </t>
  </si>
  <si>
    <t>PARTICIPANTS</t>
  </si>
  <si>
    <t>ISSUES</t>
  </si>
  <si>
    <t>PROPORTION</t>
  </si>
  <si>
    <t>4. Find all the routes that would take you to the IT building from campus center btw 3:30-4:00 PM.</t>
  </si>
  <si>
    <t>P1</t>
  </si>
  <si>
    <t>P2</t>
  </si>
  <si>
    <t>P3</t>
  </si>
  <si>
    <t>P4</t>
  </si>
  <si>
    <t>P5</t>
  </si>
  <si>
    <t>P6</t>
  </si>
  <si>
    <t>P7</t>
  </si>
  <si>
    <t>P8</t>
  </si>
  <si>
    <t>P9</t>
  </si>
  <si>
    <t>P10</t>
  </si>
  <si>
    <t>Calculations: (ALL 3 TASKS COMBINED)</t>
  </si>
  <si>
    <t>TASK 1:</t>
  </si>
  <si>
    <t>TASK 2:</t>
  </si>
  <si>
    <t>ADDITIONAL TASK:</t>
  </si>
  <si>
    <t>p</t>
  </si>
  <si>
    <t>n</t>
  </si>
  <si>
    <t>Passed</t>
  </si>
  <si>
    <t>average proportions</t>
  </si>
  <si>
    <t>1-(1-p)^n</t>
  </si>
  <si>
    <t>1-(1-0.53)^10</t>
  </si>
  <si>
    <t>% of issues that would be found</t>
  </si>
  <si>
    <t xml:space="preserve">P1 Success/ Failure </t>
  </si>
  <si>
    <t>P2 Time taken (Sec)</t>
  </si>
  <si>
    <t>P3 Time taken(Sec)</t>
  </si>
  <si>
    <t>P4 Time taken(Sec)</t>
  </si>
  <si>
    <t>P6 Time taken(Sec)</t>
  </si>
  <si>
    <t>P7 Time taken(Sec)</t>
  </si>
  <si>
    <t>P8 Time taken(Sec)</t>
  </si>
  <si>
    <t>P9 Time taken(Sec)</t>
  </si>
  <si>
    <t>P10 Time taken(Sec)</t>
  </si>
  <si>
    <t>Expert time (Avg time of expert users- Sec)</t>
  </si>
  <si>
    <t>Novice Time Avg (Avg time taken by 10 Particiants - Sec)</t>
  </si>
  <si>
    <t>Novice To Expert Ratio (Sec)</t>
  </si>
  <si>
    <t>Additional Task:</t>
  </si>
  <si>
    <t>Success Count out of 10 Participation</t>
  </si>
  <si>
    <t>Metrics</t>
  </si>
  <si>
    <t>P1 Time taken (Secs)
Expert</t>
  </si>
  <si>
    <t>P2 Time taken (Secs)
Novice</t>
  </si>
  <si>
    <t>Notes</t>
  </si>
  <si>
    <t xml:space="preserve">The user checked the settings to see if the locations is turned on since he couldn't identify the system status if since the user didn't notice anything. </t>
  </si>
  <si>
    <t>P2 was unable to find the timings. 
The system seems to be inconsistent. The user is unable to find timings of the bus on certain times</t>
  </si>
  <si>
    <t>Both the participants found it difficult to find all the routes, The user had to open each route to see what are all the busses available in the route. Which took a lot of time</t>
  </si>
  <si>
    <t>P1 found it relatively easy as he used search functionality, P2, The novice user used the map to identify locations and find stops. Once he identified search button, He quickly completed the task</t>
  </si>
  <si>
    <t>Both the participants used search functionality to find the location</t>
  </si>
  <si>
    <t>Although the user completed task, No system response time was found. Yet the task completion time was high</t>
  </si>
  <si>
    <t>Novice user confused notification with the one in the menu. Up on Clarifiying, The user completed the task</t>
  </si>
  <si>
    <t>The users didn’t complete the task. The failed to get notifications</t>
  </si>
  <si>
    <t>Total Task execution time</t>
  </si>
  <si>
    <t>P2 found it difficult to identify the icon</t>
  </si>
  <si>
    <t>P1 and P2 were unable to distinguish colours , as they were too dark.</t>
  </si>
  <si>
    <t xml:space="preserve">P2 user was unable to complete the task as  he wasn't aware of the street names </t>
  </si>
  <si>
    <t>The app is inconsistent . P1 was able to track the timings , whereas P2 was unable to track the timings.</t>
  </si>
  <si>
    <t xml:space="preserve">There weren't many painpoints in this step. However, P1 user mistook horizontal bar on the screen as search bar and spent some time on it . Later, went on to search feature in the navigation bar </t>
  </si>
  <si>
    <t>Didn't receive notifications (both P1 and P2).</t>
  </si>
  <si>
    <t>Participant couldn't find the location icon</t>
  </si>
  <si>
    <t>Participants checked the mobile app, figured out the route, clicked on it and then looked for the purple line and then the user clicked on it</t>
  </si>
  <si>
    <t>One of the participants looked on the map view to click on the campus center and then look for the respective routes. Also since the IT building is shown as the Vermont and Capitol stop name, users are confused with the building name and street name.</t>
  </si>
  <si>
    <t>Participant figures out the street name and clicks on it but doesn't know where to enter the destination location in.</t>
  </si>
  <si>
    <t>Participants struggle to find the search button as there is already a search field available on the homepage but is irresponsive. Later looks at the search icon and then goes ahead and searches for the hospital</t>
  </si>
  <si>
    <t>The user looked at the star icon at the corner of the route and clicked on it but was waiting for favorites added confirmation.</t>
  </si>
  <si>
    <t>Clicks on the starred favorite icon on the bottom navigation panel</t>
  </si>
  <si>
    <t>Looks for the recently saved route within the same page</t>
  </si>
  <si>
    <t>The participant clicks on the route icon, selects the Crimson colour Jagline route</t>
  </si>
  <si>
    <t>Participant chooses the Campus Center stop</t>
  </si>
  <si>
    <t>Participant finds the notification icon disabled but clicks it anyways, adds in a 10 minute reminder</t>
  </si>
  <si>
    <t>The users didn’t complete the task. They failed to get notifications</t>
  </si>
  <si>
    <t>Success count out of 2 session</t>
  </si>
  <si>
    <t>Novic</t>
  </si>
  <si>
    <t>Users already had location on</t>
  </si>
  <si>
    <t>Participants first checked "Menu" / "Search" options rather than "Routes" option</t>
  </si>
  <si>
    <t xml:space="preserve">P2 didn't know the name of the stop near IT building </t>
  </si>
  <si>
    <t>Both the participants found it difficult to find all the routes, There isn't any option where the user can</t>
  </si>
  <si>
    <t>The navigation "Arrow" was not working, took multiple clicks</t>
  </si>
  <si>
    <t xml:space="preserve">Success </t>
  </si>
  <si>
    <t>Notification didn't turn off</t>
  </si>
  <si>
    <t>Error Index:</t>
  </si>
  <si>
    <t>Critical: 0% Success rate</t>
  </si>
  <si>
    <t>m</t>
  </si>
  <si>
    <t>sucuess</t>
  </si>
  <si>
    <t>different icon made the user confused hence led to failure</t>
  </si>
  <si>
    <t>sucesss</t>
  </si>
  <si>
    <t>both users easily identified the routes</t>
  </si>
  <si>
    <t xml:space="preserve">Didn’t know the names for the street </t>
  </si>
  <si>
    <t>both participants easily identified the routes</t>
  </si>
  <si>
    <t>didn’t know where riley is located while the other simply used search bar</t>
  </si>
  <si>
    <t>p1 clicked the favourites in navbar rather than the favourtie route</t>
  </si>
  <si>
    <t>they couldn’t set the notification the set reminder button doesn’t work</t>
  </si>
  <si>
    <t>the previous task failure led to this task 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</si>
</sst>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u/>
      <sz val="12"/>
      <color theme="1"/>
      <name val="Calibri"/>
      <family val="2"/>
      <scheme val="minor"/>
    </font>
    <font>
      <sz val="12"/>
      <color rgb="FF000000"/>
      <name val="Calibri"/>
      <family val="2"/>
    </font>
    <font>
      <sz val="12"/>
      <color rgb="FF000000"/>
      <name val="Calibri"/>
      <family val="2"/>
    </font>
    <font>
      <b/>
      <sz val="12"/>
      <color theme="1"/>
      <name val="Calibri"/>
      <family val="2"/>
      <scheme val="minor"/>
    </font>
    <font>
      <b/>
      <sz val="12"/>
      <color theme="0"/>
      <name val="Calibri"/>
      <family val="2"/>
      <scheme val="minor"/>
    </font>
    <font>
      <b/>
      <u/>
      <sz val="12"/>
      <color theme="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5AFB4"/>
        <bgColor indexed="64"/>
      </patternFill>
    </fill>
    <fill>
      <patternFill patternType="solid">
        <fgColor rgb="FFF6E8FF"/>
        <bgColor indexed="64"/>
      </patternFill>
    </fill>
    <fill>
      <patternFill patternType="solid">
        <fgColor rgb="FFF4B084"/>
        <bgColor indexed="64"/>
      </patternFill>
    </fill>
    <fill>
      <patternFill patternType="solid">
        <fgColor rgb="FFA14F1B"/>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s>
  <cellStyleXfs count="1">
    <xf numFmtId="0" fontId="0" fillId="0" borderId="0"/>
  </cellStyleXfs>
  <cellXfs count="116">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0" fontId="0" fillId="2" borderId="1" xfId="0" applyFill="1" applyBorder="1" applyAlignment="1">
      <alignment vertical="top" wrapText="1"/>
    </xf>
    <xf numFmtId="0" fontId="0" fillId="0" borderId="1" xfId="0" applyBorder="1" applyAlignment="1">
      <alignment horizontal="left" vertical="top" wrapText="1"/>
    </xf>
    <xf numFmtId="0" fontId="0" fillId="0" borderId="1" xfId="0" applyBorder="1" applyAlignment="1">
      <alignment vertical="top" wrapText="1"/>
    </xf>
    <xf numFmtId="0" fontId="0" fillId="0" borderId="0" xfId="0" applyAlignment="1">
      <alignment horizontal="left"/>
    </xf>
    <xf numFmtId="0" fontId="0" fillId="0" borderId="0" xfId="0" applyAlignment="1">
      <alignment horizontal="left" vertical="top" wrapText="1"/>
    </xf>
    <xf numFmtId="0" fontId="2" fillId="0" borderId="0" xfId="0" applyFont="1"/>
    <xf numFmtId="0" fontId="1" fillId="3" borderId="1" xfId="0" applyFont="1" applyFill="1" applyBorder="1" applyAlignment="1">
      <alignment vertical="top" wrapText="1"/>
    </xf>
    <xf numFmtId="0" fontId="0" fillId="3" borderId="1" xfId="0" applyFill="1" applyBorder="1" applyAlignment="1">
      <alignment vertical="top" wrapText="1"/>
    </xf>
    <xf numFmtId="0" fontId="0" fillId="3" borderId="1" xfId="0" applyFill="1" applyBorder="1" applyAlignment="1">
      <alignment horizontal="left" vertical="top" wrapText="1"/>
    </xf>
    <xf numFmtId="0" fontId="0" fillId="4" borderId="0" xfId="0" applyFill="1"/>
    <xf numFmtId="0" fontId="0" fillId="3" borderId="2" xfId="0" applyFill="1" applyBorder="1" applyAlignment="1">
      <alignment vertical="top"/>
    </xf>
    <xf numFmtId="0" fontId="0" fillId="0" borderId="2" xfId="0" applyBorder="1"/>
    <xf numFmtId="0" fontId="0" fillId="0" borderId="3" xfId="0" applyBorder="1" applyAlignment="1">
      <alignment vertical="top" wrapText="1"/>
    </xf>
    <xf numFmtId="0" fontId="0" fillId="3" borderId="3" xfId="0" applyFill="1" applyBorder="1" applyAlignment="1">
      <alignment vertical="top" wrapText="1"/>
    </xf>
    <xf numFmtId="0" fontId="0" fillId="5" borderId="1" xfId="0" applyFill="1" applyBorder="1" applyAlignment="1">
      <alignment horizontal="left" vertical="top" wrapText="1"/>
    </xf>
    <xf numFmtId="0" fontId="0" fillId="5" borderId="3" xfId="0" applyFill="1" applyBorder="1" applyAlignment="1">
      <alignment vertical="top" wrapText="1"/>
    </xf>
    <xf numFmtId="0" fontId="0" fillId="5" borderId="2" xfId="0" applyFill="1" applyBorder="1"/>
    <xf numFmtId="0" fontId="0" fillId="6" borderId="1" xfId="0" applyFill="1" applyBorder="1" applyAlignment="1">
      <alignment horizontal="left" vertical="top" wrapText="1"/>
    </xf>
    <xf numFmtId="0" fontId="0" fillId="6" borderId="3" xfId="0" applyFill="1" applyBorder="1" applyAlignment="1">
      <alignment vertical="top" wrapText="1"/>
    </xf>
    <xf numFmtId="0" fontId="0" fillId="6" borderId="2" xfId="0" applyFill="1" applyBorder="1"/>
    <xf numFmtId="0" fontId="0" fillId="7" borderId="1" xfId="0" applyFill="1" applyBorder="1" applyAlignment="1">
      <alignment horizontal="left" vertical="top" wrapText="1"/>
    </xf>
    <xf numFmtId="0" fontId="0" fillId="7" borderId="3" xfId="0" applyFill="1" applyBorder="1" applyAlignment="1">
      <alignment vertical="top" wrapText="1"/>
    </xf>
    <xf numFmtId="0" fontId="0" fillId="7" borderId="2" xfId="0" applyFill="1" applyBorder="1"/>
    <xf numFmtId="2" fontId="0" fillId="2" borderId="1" xfId="0" applyNumberFormat="1" applyFill="1" applyBorder="1" applyAlignment="1">
      <alignment vertical="top" wrapText="1"/>
    </xf>
    <xf numFmtId="2" fontId="0" fillId="0" borderId="1" xfId="0" applyNumberFormat="1" applyBorder="1" applyAlignment="1">
      <alignment vertical="top" wrapText="1"/>
    </xf>
    <xf numFmtId="2" fontId="0" fillId="0" borderId="0" xfId="0" applyNumberFormat="1" applyAlignment="1">
      <alignment vertical="top" wrapText="1"/>
    </xf>
    <xf numFmtId="0" fontId="0" fillId="3" borderId="4" xfId="0" applyFill="1" applyBorder="1" applyAlignment="1">
      <alignment vertical="top"/>
    </xf>
    <xf numFmtId="0" fontId="0" fillId="0" borderId="4" xfId="0" applyBorder="1"/>
    <xf numFmtId="0" fontId="0" fillId="5" borderId="4" xfId="0" applyFill="1" applyBorder="1"/>
    <xf numFmtId="0" fontId="0" fillId="0" borderId="2" xfId="0" applyBorder="1" applyAlignment="1">
      <alignment vertical="top" wrapText="1"/>
    </xf>
    <xf numFmtId="0" fontId="0" fillId="5" borderId="1" xfId="0" applyFill="1" applyBorder="1" applyAlignment="1">
      <alignment vertical="top" wrapText="1"/>
    </xf>
    <xf numFmtId="0" fontId="0" fillId="5" borderId="2" xfId="0" applyFill="1" applyBorder="1" applyAlignment="1">
      <alignment vertical="top" wrapText="1"/>
    </xf>
    <xf numFmtId="0" fontId="0" fillId="3" borderId="2" xfId="0" applyFill="1" applyBorder="1" applyAlignment="1">
      <alignment vertical="top" wrapText="1"/>
    </xf>
    <xf numFmtId="2" fontId="0" fillId="3" borderId="1" xfId="0" applyNumberFormat="1" applyFill="1" applyBorder="1" applyAlignment="1">
      <alignment vertical="top" wrapText="1"/>
    </xf>
    <xf numFmtId="0" fontId="0" fillId="3" borderId="2" xfId="0" applyFill="1" applyBorder="1"/>
    <xf numFmtId="0" fontId="0" fillId="3" borderId="5" xfId="0" applyFill="1" applyBorder="1" applyAlignment="1">
      <alignment vertical="top"/>
    </xf>
    <xf numFmtId="0" fontId="0" fillId="0" borderId="5" xfId="0" applyBorder="1"/>
    <xf numFmtId="0" fontId="3" fillId="0" borderId="0" xfId="0" applyFont="1"/>
    <xf numFmtId="0" fontId="3" fillId="0" borderId="0" xfId="0" applyFont="1" applyAlignment="1">
      <alignment vertical="top"/>
    </xf>
    <xf numFmtId="0" fontId="0" fillId="8" borderId="0" xfId="0" applyFill="1"/>
    <xf numFmtId="0" fontId="0" fillId="6" borderId="15" xfId="0" applyFill="1" applyBorder="1"/>
    <xf numFmtId="0" fontId="0" fillId="9" borderId="15" xfId="0" applyFill="1" applyBorder="1"/>
    <xf numFmtId="0" fontId="0" fillId="11" borderId="15" xfId="0" applyFill="1" applyBorder="1"/>
    <xf numFmtId="0" fontId="0" fillId="11" borderId="16" xfId="0" applyFill="1" applyBorder="1"/>
    <xf numFmtId="0" fontId="0" fillId="6" borderId="0" xfId="0" applyFill="1"/>
    <xf numFmtId="0" fontId="0" fillId="9" borderId="0" xfId="0" applyFill="1"/>
    <xf numFmtId="0" fontId="0" fillId="11" borderId="0" xfId="0" applyFill="1"/>
    <xf numFmtId="0" fontId="0" fillId="8" borderId="16" xfId="0" applyFill="1" applyBorder="1"/>
    <xf numFmtId="0" fontId="0" fillId="8" borderId="17" xfId="0" applyFill="1" applyBorder="1"/>
    <xf numFmtId="0" fontId="0" fillId="8" borderId="24" xfId="0" applyFill="1" applyBorder="1"/>
    <xf numFmtId="0" fontId="0" fillId="8" borderId="18" xfId="0" applyFill="1" applyBorder="1"/>
    <xf numFmtId="0" fontId="0" fillId="9" borderId="1" xfId="0" applyFill="1" applyBorder="1" applyAlignment="1">
      <alignment vertical="top" wrapText="1"/>
    </xf>
    <xf numFmtId="0" fontId="0" fillId="6" borderId="25" xfId="0" applyFill="1" applyBorder="1" applyAlignment="1">
      <alignment horizontal="left" vertical="top" wrapText="1"/>
    </xf>
    <xf numFmtId="0" fontId="0" fillId="6" borderId="26" xfId="0" applyFill="1" applyBorder="1" applyAlignment="1">
      <alignment horizontal="left" vertical="top" wrapText="1"/>
    </xf>
    <xf numFmtId="0" fontId="1" fillId="3" borderId="1" xfId="0" applyFont="1" applyFill="1" applyBorder="1" applyAlignment="1">
      <alignment horizontal="left" vertical="top" wrapText="1"/>
    </xf>
    <xf numFmtId="0" fontId="0" fillId="9" borderId="28" xfId="0" applyFill="1" applyBorder="1" applyAlignment="1">
      <alignment horizontal="left" vertical="top" wrapText="1"/>
    </xf>
    <xf numFmtId="0" fontId="0" fillId="9" borderId="26" xfId="0" applyFill="1" applyBorder="1" applyAlignment="1">
      <alignment horizontal="left" vertical="top" wrapText="1"/>
    </xf>
    <xf numFmtId="0" fontId="0" fillId="6" borderId="29" xfId="0" applyFill="1" applyBorder="1" applyAlignment="1">
      <alignment horizontal="left" vertical="top" wrapText="1"/>
    </xf>
    <xf numFmtId="0" fontId="0" fillId="11" borderId="25" xfId="0" applyFill="1" applyBorder="1" applyAlignment="1">
      <alignment horizontal="left" vertical="top" wrapText="1"/>
    </xf>
    <xf numFmtId="0" fontId="0" fillId="11" borderId="26" xfId="0" applyFill="1" applyBorder="1" applyAlignment="1">
      <alignment horizontal="left" vertical="top" wrapText="1"/>
    </xf>
    <xf numFmtId="0" fontId="0" fillId="11" borderId="27" xfId="0" applyFill="1" applyBorder="1" applyAlignment="1">
      <alignment horizontal="left" vertical="top" wrapText="1"/>
    </xf>
    <xf numFmtId="0" fontId="0" fillId="9" borderId="29" xfId="0" applyFill="1" applyBorder="1" applyAlignment="1">
      <alignment horizontal="left" vertical="top" wrapText="1"/>
    </xf>
    <xf numFmtId="0" fontId="5" fillId="13" borderId="2" xfId="0" applyFont="1" applyFill="1" applyBorder="1" applyAlignment="1">
      <alignment vertical="top" wrapText="1"/>
    </xf>
    <xf numFmtId="0" fontId="6" fillId="13" borderId="1" xfId="0" applyFont="1" applyFill="1" applyBorder="1" applyAlignment="1">
      <alignment vertical="top" wrapText="1"/>
    </xf>
    <xf numFmtId="0" fontId="5" fillId="13" borderId="1" xfId="0" applyFont="1" applyFill="1" applyBorder="1" applyAlignment="1">
      <alignment vertical="top" wrapText="1"/>
    </xf>
    <xf numFmtId="0" fontId="4" fillId="5" borderId="1" xfId="0" applyFont="1" applyFill="1" applyBorder="1" applyAlignment="1">
      <alignment horizontal="left" vertical="top" wrapText="1"/>
    </xf>
    <xf numFmtId="0" fontId="0" fillId="5" borderId="0" xfId="0" applyFill="1" applyAlignment="1">
      <alignment vertical="top" wrapText="1"/>
    </xf>
    <xf numFmtId="0" fontId="0" fillId="7" borderId="2" xfId="0" applyFill="1" applyBorder="1" applyAlignment="1">
      <alignment vertical="top" wrapText="1"/>
    </xf>
    <xf numFmtId="0" fontId="3" fillId="7" borderId="2" xfId="0" applyFont="1" applyFill="1" applyBorder="1"/>
    <xf numFmtId="0" fontId="4" fillId="12" borderId="2" xfId="0" applyFont="1" applyFill="1" applyBorder="1" applyAlignment="1">
      <alignment horizontal="left" vertical="top" wrapText="1"/>
    </xf>
    <xf numFmtId="0" fontId="4" fillId="12" borderId="2" xfId="0" applyFont="1" applyFill="1" applyBorder="1" applyAlignment="1">
      <alignment vertical="top" wrapText="1"/>
    </xf>
    <xf numFmtId="0" fontId="6" fillId="13" borderId="2" xfId="0" applyFont="1" applyFill="1" applyBorder="1" applyAlignment="1">
      <alignment vertical="top" wrapText="1"/>
    </xf>
    <xf numFmtId="0" fontId="5" fillId="13" borderId="2" xfId="0" applyFont="1" applyFill="1" applyBorder="1" applyAlignment="1">
      <alignment vertical="top"/>
    </xf>
    <xf numFmtId="0" fontId="4" fillId="6" borderId="13" xfId="0" applyFont="1" applyFill="1" applyBorder="1"/>
    <xf numFmtId="0" fontId="4" fillId="6" borderId="14" xfId="0" applyFont="1" applyFill="1" applyBorder="1"/>
    <xf numFmtId="0" fontId="4" fillId="6" borderId="19" xfId="0" applyFont="1" applyFill="1" applyBorder="1"/>
    <xf numFmtId="0" fontId="4" fillId="6" borderId="1" xfId="0" applyFont="1" applyFill="1" applyBorder="1"/>
    <xf numFmtId="0" fontId="4" fillId="6" borderId="22" xfId="0" applyFont="1" applyFill="1" applyBorder="1"/>
    <xf numFmtId="0" fontId="4" fillId="6" borderId="15" xfId="0" applyFont="1" applyFill="1" applyBorder="1"/>
    <xf numFmtId="0" fontId="4" fillId="6" borderId="20" xfId="0" applyFont="1" applyFill="1" applyBorder="1"/>
    <xf numFmtId="0" fontId="4" fillId="6" borderId="3" xfId="0" applyFont="1" applyFill="1" applyBorder="1"/>
    <xf numFmtId="10" fontId="4" fillId="6" borderId="1" xfId="0" applyNumberFormat="1" applyFont="1" applyFill="1" applyBorder="1"/>
    <xf numFmtId="0" fontId="4" fillId="9" borderId="13" xfId="0" applyFont="1" applyFill="1" applyBorder="1"/>
    <xf numFmtId="0" fontId="4" fillId="9" borderId="19" xfId="0" applyFont="1" applyFill="1" applyBorder="1"/>
    <xf numFmtId="0" fontId="4" fillId="9" borderId="3" xfId="0" applyFont="1" applyFill="1" applyBorder="1"/>
    <xf numFmtId="0" fontId="4" fillId="9" borderId="17" xfId="0" applyFont="1" applyFill="1" applyBorder="1"/>
    <xf numFmtId="0" fontId="4" fillId="9" borderId="1" xfId="0" applyFont="1" applyFill="1" applyBorder="1"/>
    <xf numFmtId="0" fontId="4" fillId="9" borderId="21" xfId="0" applyFont="1" applyFill="1" applyBorder="1"/>
    <xf numFmtId="0" fontId="4" fillId="9" borderId="15" xfId="0" applyFont="1" applyFill="1" applyBorder="1"/>
    <xf numFmtId="0" fontId="4" fillId="9" borderId="20" xfId="0" applyFont="1" applyFill="1" applyBorder="1"/>
    <xf numFmtId="10" fontId="4" fillId="9" borderId="1" xfId="0" applyNumberFormat="1" applyFont="1" applyFill="1" applyBorder="1"/>
    <xf numFmtId="0" fontId="4" fillId="11" borderId="13" xfId="0" applyFont="1" applyFill="1" applyBorder="1"/>
    <xf numFmtId="0" fontId="4" fillId="11" borderId="14" xfId="0" applyFont="1" applyFill="1" applyBorder="1"/>
    <xf numFmtId="0" fontId="4" fillId="11" borderId="3" xfId="0" applyFont="1" applyFill="1" applyBorder="1"/>
    <xf numFmtId="0" fontId="4" fillId="11" borderId="1" xfId="0" applyFont="1" applyFill="1" applyBorder="1"/>
    <xf numFmtId="0" fontId="4" fillId="11" borderId="17" xfId="0" applyFont="1" applyFill="1" applyBorder="1"/>
    <xf numFmtId="0" fontId="4" fillId="11" borderId="21" xfId="0" applyFont="1" applyFill="1" applyBorder="1"/>
    <xf numFmtId="0" fontId="4" fillId="11" borderId="15" xfId="0" applyFont="1" applyFill="1" applyBorder="1"/>
    <xf numFmtId="0" fontId="4" fillId="11" borderId="20" xfId="0" applyFont="1" applyFill="1" applyBorder="1"/>
    <xf numFmtId="10" fontId="4" fillId="11" borderId="1" xfId="0" applyNumberFormat="1" applyFont="1" applyFill="1" applyBorder="1"/>
    <xf numFmtId="0" fontId="4" fillId="0" borderId="12" xfId="0" applyFont="1" applyBorder="1"/>
    <xf numFmtId="0" fontId="4" fillId="0" borderId="7" xfId="0" applyFont="1" applyBorder="1"/>
    <xf numFmtId="0" fontId="4" fillId="0" borderId="8" xfId="0" applyFont="1" applyBorder="1"/>
    <xf numFmtId="0" fontId="4" fillId="0" borderId="9" xfId="0" applyFont="1" applyBorder="1"/>
    <xf numFmtId="0" fontId="4" fillId="0" borderId="6" xfId="0" applyFont="1" applyBorder="1"/>
    <xf numFmtId="0" fontId="4" fillId="0" borderId="10" xfId="0" applyFont="1" applyBorder="1"/>
    <xf numFmtId="0" fontId="4" fillId="0" borderId="11" xfId="0" applyFont="1" applyBorder="1"/>
    <xf numFmtId="10" fontId="4" fillId="0" borderId="11" xfId="0" applyNumberFormat="1" applyFont="1" applyBorder="1"/>
    <xf numFmtId="0" fontId="0" fillId="0" borderId="0" xfId="0" applyAlignment="1">
      <alignment horizontal="center" vertical="center"/>
    </xf>
    <xf numFmtId="0" fontId="0" fillId="4" borderId="14" xfId="0" applyFill="1" applyBorder="1" applyAlignment="1">
      <alignment horizontal="center" vertical="center"/>
    </xf>
    <xf numFmtId="0" fontId="0" fillId="4" borderId="16" xfId="0" applyFill="1" applyBorder="1" applyAlignment="1">
      <alignment horizontal="center" vertical="center"/>
    </xf>
    <xf numFmtId="0" fontId="0" fillId="10" borderId="13" xfId="0" applyFill="1" applyBorder="1" applyAlignment="1">
      <alignment horizontal="center"/>
    </xf>
    <xf numFmtId="0" fontId="0" fillId="10" borderId="23" xfId="0" applyFill="1" applyBorder="1" applyAlignment="1">
      <alignment horizontal="center"/>
    </xf>
  </cellXfs>
  <cellStyles count="1">
    <cellStyle name="Normal" xfId="0" builtinId="0"/>
  </cellStyles>
  <dxfs count="0"/>
  <tableStyles count="0" defaultTableStyle="TableStyleMedium2" defaultPivotStyle="PivotStyleLight16"/>
  <colors>
    <mruColors>
      <color rgb="FFF4B084"/>
      <color rgb="FFA14F1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273E6-8D45-4E65-BB60-F83EDED0B76E}">
  <dimension ref="A1:AF18"/>
  <sheetViews>
    <sheetView tabSelected="1" zoomScale="90" workbookViewId="0">
      <selection activeCell="Z2" sqref="Z2"/>
    </sheetView>
  </sheetViews>
  <sheetFormatPr baseColWidth="10" defaultColWidth="8.83203125" defaultRowHeight="15.75" customHeight="1" x14ac:dyDescent="0.2"/>
  <cols>
    <col min="1" max="1" width="33.5" customWidth="1"/>
    <col min="6" max="6" width="11.33203125" customWidth="1"/>
    <col min="7" max="7" width="10.1640625" customWidth="1"/>
    <col min="8" max="8" width="10.5" customWidth="1"/>
    <col min="18" max="18" width="15.33203125" style="1" customWidth="1"/>
    <col min="19" max="19" width="15" style="1" customWidth="1"/>
    <col min="20" max="20" width="15.33203125" style="1" customWidth="1"/>
    <col min="21" max="22" width="15" style="1" customWidth="1"/>
    <col min="23" max="23" width="12.83203125" bestFit="1" customWidth="1"/>
    <col min="26" max="26" width="10.33203125" style="14" bestFit="1" customWidth="1"/>
    <col min="27" max="27" width="12" style="14" bestFit="1" customWidth="1"/>
    <col min="28" max="28" width="17.5" style="14" bestFit="1" customWidth="1"/>
  </cols>
  <sheetData>
    <row r="1" spans="1:32" ht="51" x14ac:dyDescent="0.2">
      <c r="A1" s="9" t="s">
        <v>0</v>
      </c>
      <c r="B1" s="10" t="s">
        <v>1</v>
      </c>
      <c r="C1" s="10" t="s">
        <v>2</v>
      </c>
      <c r="D1" s="10" t="s">
        <v>3</v>
      </c>
      <c r="E1" s="10" t="s">
        <v>4</v>
      </c>
      <c r="F1" s="10" t="s">
        <v>5</v>
      </c>
      <c r="G1" s="10" t="s">
        <v>4</v>
      </c>
      <c r="H1" s="10" t="s">
        <v>6</v>
      </c>
      <c r="I1" s="10" t="s">
        <v>4</v>
      </c>
      <c r="J1" s="11" t="s">
        <v>7</v>
      </c>
      <c r="K1" s="11" t="s">
        <v>4</v>
      </c>
      <c r="L1" s="11" t="s">
        <v>8</v>
      </c>
      <c r="M1" s="11" t="s">
        <v>4</v>
      </c>
      <c r="N1" s="10" t="s">
        <v>9</v>
      </c>
      <c r="O1" s="10" t="s">
        <v>4</v>
      </c>
      <c r="P1" s="10" t="s">
        <v>10</v>
      </c>
      <c r="Q1" s="10" t="s">
        <v>4</v>
      </c>
      <c r="R1" s="10" t="s">
        <v>11</v>
      </c>
      <c r="S1" s="10" t="s">
        <v>4</v>
      </c>
      <c r="T1" s="10" t="s">
        <v>12</v>
      </c>
      <c r="U1" s="10" t="s">
        <v>4</v>
      </c>
      <c r="V1" s="10" t="s">
        <v>13</v>
      </c>
      <c r="W1" s="13" t="s">
        <v>14</v>
      </c>
      <c r="X1" s="13" t="s">
        <v>15</v>
      </c>
      <c r="Y1" s="38" t="s">
        <v>16</v>
      </c>
      <c r="Z1" s="13" t="s">
        <v>17</v>
      </c>
      <c r="AA1" s="13" t="s">
        <v>18</v>
      </c>
      <c r="AB1" s="13" t="s">
        <v>19</v>
      </c>
    </row>
    <row r="2" spans="1:32" ht="17" x14ac:dyDescent="0.2">
      <c r="A2" s="4" t="s">
        <v>20</v>
      </c>
      <c r="B2" s="5">
        <v>10</v>
      </c>
      <c r="C2" s="5" t="s">
        <v>21</v>
      </c>
      <c r="D2" s="5">
        <v>12</v>
      </c>
      <c r="E2" s="5" t="s">
        <v>21</v>
      </c>
      <c r="F2" s="5">
        <v>12</v>
      </c>
      <c r="G2" s="5" t="s">
        <v>21</v>
      </c>
      <c r="H2" s="5">
        <v>20</v>
      </c>
      <c r="I2" s="5" t="s">
        <v>21</v>
      </c>
      <c r="J2" s="4">
        <v>11</v>
      </c>
      <c r="K2" s="4" t="s">
        <v>21</v>
      </c>
      <c r="L2" s="4">
        <v>12</v>
      </c>
      <c r="M2" s="4" t="s">
        <v>21</v>
      </c>
      <c r="N2" s="5">
        <v>4</v>
      </c>
      <c r="O2" s="5" t="s">
        <v>22</v>
      </c>
      <c r="P2" s="5">
        <v>10</v>
      </c>
      <c r="Q2" s="5" t="s">
        <v>21</v>
      </c>
      <c r="R2" s="5" t="s">
        <v>23</v>
      </c>
      <c r="S2" s="5" t="s">
        <v>21</v>
      </c>
      <c r="T2" s="5">
        <v>5</v>
      </c>
      <c r="U2" s="5" t="s">
        <v>22</v>
      </c>
      <c r="V2" s="15">
        <v>2</v>
      </c>
      <c r="W2" s="14">
        <v>0.25</v>
      </c>
      <c r="X2" s="14">
        <v>4.5900000000000003E-2</v>
      </c>
      <c r="Y2" s="39">
        <v>0.52059999999999995</v>
      </c>
      <c r="Z2" s="14">
        <v>2.95</v>
      </c>
      <c r="AA2" s="14">
        <f>AVERAGE(B2,D2,F2,H2,J2,L2,N2,P2,R2,T2)</f>
        <v>10.666666666666666</v>
      </c>
      <c r="AB2" s="14">
        <f>Z2+AA2/Z2</f>
        <v>6.5658192090395477</v>
      </c>
    </row>
    <row r="3" spans="1:32" ht="34" x14ac:dyDescent="0.2">
      <c r="A3" s="4" t="s">
        <v>24</v>
      </c>
      <c r="B3" s="5">
        <v>7</v>
      </c>
      <c r="C3" s="5" t="s">
        <v>22</v>
      </c>
      <c r="D3" s="5">
        <v>9</v>
      </c>
      <c r="E3" s="5" t="s">
        <v>22</v>
      </c>
      <c r="F3" s="5">
        <v>20</v>
      </c>
      <c r="G3" s="5" t="s">
        <v>21</v>
      </c>
      <c r="H3" s="5">
        <v>15</v>
      </c>
      <c r="I3" s="5" t="s">
        <v>21</v>
      </c>
      <c r="J3" s="4">
        <v>4</v>
      </c>
      <c r="K3" s="4" t="s">
        <v>22</v>
      </c>
      <c r="L3" s="4">
        <v>8</v>
      </c>
      <c r="M3" s="4" t="s">
        <v>22</v>
      </c>
      <c r="N3" s="5">
        <v>12</v>
      </c>
      <c r="O3" s="5" t="s">
        <v>21</v>
      </c>
      <c r="P3" s="5">
        <v>25</v>
      </c>
      <c r="Q3" s="5" t="s">
        <v>21</v>
      </c>
      <c r="R3" s="5">
        <v>20</v>
      </c>
      <c r="S3" s="5" t="s">
        <v>21</v>
      </c>
      <c r="T3" s="5">
        <v>7</v>
      </c>
      <c r="U3" s="5" t="s">
        <v>22</v>
      </c>
      <c r="V3" s="5">
        <v>5</v>
      </c>
      <c r="W3" s="14">
        <v>0.5</v>
      </c>
      <c r="X3" s="14">
        <v>0.2366</v>
      </c>
      <c r="Y3" s="39">
        <v>0.76339999999999997</v>
      </c>
      <c r="Z3" s="14">
        <v>8</v>
      </c>
      <c r="AA3" s="14">
        <f>AVERAGE(B3,D3,F3,H3,J3,L3,N3,P3,R3,T3)</f>
        <v>12.7</v>
      </c>
      <c r="AB3" s="14">
        <f>Z3+AA3/Z3</f>
        <v>9.5875000000000004</v>
      </c>
    </row>
    <row r="4" spans="1:32" ht="51" x14ac:dyDescent="0.2">
      <c r="A4" s="4" t="s">
        <v>25</v>
      </c>
      <c r="B4" s="5">
        <v>9</v>
      </c>
      <c r="C4" s="5" t="s">
        <v>22</v>
      </c>
      <c r="D4" s="5" t="s">
        <v>26</v>
      </c>
      <c r="E4" s="5" t="s">
        <v>21</v>
      </c>
      <c r="F4" s="5">
        <v>8</v>
      </c>
      <c r="G4" s="5" t="s">
        <v>22</v>
      </c>
      <c r="H4" s="5" t="s">
        <v>27</v>
      </c>
      <c r="I4" s="5" t="s">
        <v>21</v>
      </c>
      <c r="J4" s="4">
        <v>17</v>
      </c>
      <c r="K4" s="4" t="s">
        <v>21</v>
      </c>
      <c r="L4" s="4">
        <v>20</v>
      </c>
      <c r="M4" s="4" t="s">
        <v>21</v>
      </c>
      <c r="N4" s="5">
        <v>12</v>
      </c>
      <c r="O4" s="5" t="s">
        <v>21</v>
      </c>
      <c r="P4" s="5">
        <v>34</v>
      </c>
      <c r="Q4" s="5" t="s">
        <v>21</v>
      </c>
      <c r="R4" s="5">
        <v>8</v>
      </c>
      <c r="S4" s="5" t="s">
        <v>22</v>
      </c>
      <c r="T4" s="5">
        <v>30</v>
      </c>
      <c r="U4" s="5" t="s">
        <v>21</v>
      </c>
      <c r="V4" s="5">
        <v>3</v>
      </c>
      <c r="W4" s="14">
        <v>0.33329999999999999</v>
      </c>
      <c r="X4" s="14">
        <v>0.1033</v>
      </c>
      <c r="Y4" s="39">
        <v>0.60770000000000002</v>
      </c>
      <c r="Z4" s="14">
        <v>8</v>
      </c>
      <c r="AA4" s="14">
        <f>AVERAGE(B4,D4,F4,H4,J4,L4,N4,P4,R4,T4)</f>
        <v>17.25</v>
      </c>
      <c r="AB4" s="14">
        <f>Z4+AA4/Z4</f>
        <v>10.15625</v>
      </c>
    </row>
    <row r="5" spans="1:32" ht="51" x14ac:dyDescent="0.2">
      <c r="A5" s="4" t="s">
        <v>28</v>
      </c>
      <c r="B5" s="5">
        <v>45</v>
      </c>
      <c r="C5" s="5" t="s">
        <v>21</v>
      </c>
      <c r="D5" s="5">
        <v>85</v>
      </c>
      <c r="E5" s="5" t="s">
        <v>21</v>
      </c>
      <c r="F5" s="5">
        <v>5</v>
      </c>
      <c r="G5" s="5" t="s">
        <v>22</v>
      </c>
      <c r="H5" s="5" t="s">
        <v>27</v>
      </c>
      <c r="I5" s="5" t="s">
        <v>21</v>
      </c>
      <c r="J5" s="4">
        <v>17</v>
      </c>
      <c r="K5" s="4" t="s">
        <v>21</v>
      </c>
      <c r="L5" s="4">
        <v>11</v>
      </c>
      <c r="M5" s="4" t="s">
        <v>22</v>
      </c>
      <c r="N5" s="5">
        <v>33</v>
      </c>
      <c r="O5" s="5" t="s">
        <v>21</v>
      </c>
      <c r="P5" s="5">
        <v>66</v>
      </c>
      <c r="Q5" s="5" t="s">
        <v>21</v>
      </c>
      <c r="R5" s="5">
        <v>5</v>
      </c>
      <c r="S5" s="5" t="s">
        <v>22</v>
      </c>
      <c r="T5" s="5">
        <v>35</v>
      </c>
      <c r="U5" s="5" t="s">
        <v>21</v>
      </c>
      <c r="V5" s="5">
        <v>3</v>
      </c>
      <c r="W5" s="14">
        <v>0.33329999999999999</v>
      </c>
      <c r="X5" s="14">
        <v>0.1033</v>
      </c>
      <c r="Y5" s="39">
        <v>0.60770000000000002</v>
      </c>
      <c r="Z5" s="14">
        <v>4</v>
      </c>
      <c r="AA5" s="14">
        <f>AVERAGE(B5,D5,F5,H5,J5,L5,N5,P5,R5,T5)</f>
        <v>33.555555555555557</v>
      </c>
      <c r="AB5" s="14">
        <f>Z5+AA5/Z5</f>
        <v>12.388888888888889</v>
      </c>
    </row>
    <row r="6" spans="1:32" ht="16" x14ac:dyDescent="0.2">
      <c r="A6" s="1"/>
      <c r="B6" s="1"/>
      <c r="C6" s="1"/>
      <c r="D6" s="1"/>
      <c r="E6" s="1"/>
      <c r="F6" s="1"/>
      <c r="G6" s="1"/>
      <c r="H6" s="1"/>
      <c r="I6" s="1"/>
      <c r="J6" s="7"/>
      <c r="K6" s="7"/>
      <c r="L6" s="7"/>
      <c r="M6" s="7"/>
      <c r="N6" s="1"/>
      <c r="O6" s="1"/>
      <c r="P6" s="1"/>
      <c r="Q6" s="1"/>
      <c r="W6" s="14"/>
      <c r="X6" s="14"/>
      <c r="Y6" s="39"/>
    </row>
    <row r="7" spans="1:32" ht="51" x14ac:dyDescent="0.2">
      <c r="A7" s="9" t="s">
        <v>29</v>
      </c>
      <c r="B7" s="10" t="s">
        <v>30</v>
      </c>
      <c r="C7" s="10" t="s">
        <v>4</v>
      </c>
      <c r="D7" s="10" t="s">
        <v>3</v>
      </c>
      <c r="E7" s="10" t="s">
        <v>4</v>
      </c>
      <c r="F7" s="10" t="s">
        <v>5</v>
      </c>
      <c r="G7" s="10" t="s">
        <v>4</v>
      </c>
      <c r="H7" s="10" t="s">
        <v>6</v>
      </c>
      <c r="I7" s="10" t="s">
        <v>4</v>
      </c>
      <c r="J7" s="11" t="s">
        <v>7</v>
      </c>
      <c r="K7" s="11" t="s">
        <v>4</v>
      </c>
      <c r="L7" s="11" t="s">
        <v>8</v>
      </c>
      <c r="M7" s="11" t="s">
        <v>4</v>
      </c>
      <c r="N7" s="10" t="s">
        <v>9</v>
      </c>
      <c r="O7" s="10" t="s">
        <v>4</v>
      </c>
      <c r="P7" s="10" t="s">
        <v>10</v>
      </c>
      <c r="Q7" s="10" t="s">
        <v>4</v>
      </c>
      <c r="R7" s="10" t="s">
        <v>11</v>
      </c>
      <c r="S7" s="10" t="s">
        <v>4</v>
      </c>
      <c r="T7" s="10" t="s">
        <v>12</v>
      </c>
      <c r="U7" s="10" t="s">
        <v>4</v>
      </c>
      <c r="V7" s="10" t="s">
        <v>13</v>
      </c>
      <c r="W7" s="13" t="s">
        <v>14</v>
      </c>
      <c r="X7" s="13" t="s">
        <v>15</v>
      </c>
      <c r="Y7" s="38" t="s">
        <v>16</v>
      </c>
      <c r="Z7" s="13" t="s">
        <v>17</v>
      </c>
      <c r="AA7" s="13" t="s">
        <v>18</v>
      </c>
      <c r="AB7" s="13" t="s">
        <v>19</v>
      </c>
    </row>
    <row r="8" spans="1:32" ht="34" x14ac:dyDescent="0.2">
      <c r="A8" s="4" t="s">
        <v>31</v>
      </c>
      <c r="B8" s="5">
        <v>6</v>
      </c>
      <c r="C8" s="5" t="s">
        <v>22</v>
      </c>
      <c r="D8" s="5">
        <v>12</v>
      </c>
      <c r="E8" s="5" t="s">
        <v>21</v>
      </c>
      <c r="F8" s="5">
        <v>8</v>
      </c>
      <c r="G8" s="5" t="s">
        <v>22</v>
      </c>
      <c r="H8" s="5">
        <v>8</v>
      </c>
      <c r="I8" s="5" t="s">
        <v>22</v>
      </c>
      <c r="J8" s="4">
        <v>16</v>
      </c>
      <c r="K8" s="4" t="s">
        <v>21</v>
      </c>
      <c r="L8" s="4">
        <v>14</v>
      </c>
      <c r="M8" s="4" t="s">
        <v>21</v>
      </c>
      <c r="N8" s="5">
        <v>5</v>
      </c>
      <c r="O8" s="5" t="s">
        <v>22</v>
      </c>
      <c r="P8" s="5">
        <v>12</v>
      </c>
      <c r="Q8" s="5" t="s">
        <v>21</v>
      </c>
      <c r="R8" s="5">
        <v>24</v>
      </c>
      <c r="S8" s="5" t="s">
        <v>32</v>
      </c>
      <c r="T8" s="5">
        <v>12</v>
      </c>
      <c r="U8" s="5" t="s">
        <v>21</v>
      </c>
      <c r="V8" s="5">
        <v>4</v>
      </c>
      <c r="W8" s="14">
        <v>0.41670000000000001</v>
      </c>
      <c r="X8" s="14">
        <v>0.1671</v>
      </c>
      <c r="Y8" s="39">
        <v>0.68840000000000001</v>
      </c>
      <c r="Z8" s="14">
        <v>9</v>
      </c>
      <c r="AA8" s="14">
        <f>AVERAGE(B8,D8,F8,H8,J8,L8,N8,P8,R8,T8)</f>
        <v>11.7</v>
      </c>
      <c r="AB8" s="14">
        <f>Z8+AA8/Z8</f>
        <v>10.3</v>
      </c>
    </row>
    <row r="9" spans="1:32" ht="51" x14ac:dyDescent="0.2">
      <c r="A9" s="4" t="s">
        <v>33</v>
      </c>
      <c r="B9" s="5">
        <v>3</v>
      </c>
      <c r="C9" s="5" t="s">
        <v>22</v>
      </c>
      <c r="D9" s="5">
        <v>4</v>
      </c>
      <c r="E9" s="5" t="s">
        <v>22</v>
      </c>
      <c r="F9" s="5">
        <v>4</v>
      </c>
      <c r="G9" s="5" t="s">
        <v>22</v>
      </c>
      <c r="H9" s="5">
        <v>6</v>
      </c>
      <c r="I9" s="5" t="s">
        <v>32</v>
      </c>
      <c r="J9" s="4">
        <v>5</v>
      </c>
      <c r="K9" s="4" t="s">
        <v>22</v>
      </c>
      <c r="L9" s="4">
        <v>12</v>
      </c>
      <c r="M9" s="4" t="s">
        <v>21</v>
      </c>
      <c r="N9" s="5">
        <v>12</v>
      </c>
      <c r="O9" s="5" t="s">
        <v>21</v>
      </c>
      <c r="P9" s="5">
        <v>6</v>
      </c>
      <c r="Q9" s="5" t="s">
        <v>32</v>
      </c>
      <c r="R9" s="5" t="s">
        <v>23</v>
      </c>
      <c r="S9" s="5" t="s">
        <v>32</v>
      </c>
      <c r="T9" s="5">
        <v>2</v>
      </c>
      <c r="U9" s="5" t="s">
        <v>22</v>
      </c>
      <c r="V9" s="5">
        <v>5</v>
      </c>
      <c r="W9" s="14">
        <v>0.5</v>
      </c>
      <c r="X9" s="14">
        <v>0.2366</v>
      </c>
      <c r="Y9" s="39">
        <v>0.76339999999999997</v>
      </c>
      <c r="Z9" s="14">
        <v>1.73</v>
      </c>
      <c r="AA9" s="14">
        <f>AVERAGE(B9,D9,F9,H9,J9,L9,N9,P9,R9,T9)</f>
        <v>6</v>
      </c>
      <c r="AB9" s="14">
        <f>Z9+AA9/Z9</f>
        <v>5.1982080924855492</v>
      </c>
      <c r="AF9">
        <v>5</v>
      </c>
    </row>
    <row r="10" spans="1:32" ht="17" x14ac:dyDescent="0.2">
      <c r="A10" s="4" t="s">
        <v>34</v>
      </c>
      <c r="B10" s="5">
        <v>2</v>
      </c>
      <c r="C10" s="5" t="s">
        <v>22</v>
      </c>
      <c r="D10" s="5">
        <v>5</v>
      </c>
      <c r="E10" s="5" t="s">
        <v>32</v>
      </c>
      <c r="F10" s="5">
        <v>2</v>
      </c>
      <c r="G10" s="5" t="s">
        <v>22</v>
      </c>
      <c r="H10" s="5">
        <v>2</v>
      </c>
      <c r="I10" s="5" t="s">
        <v>22</v>
      </c>
      <c r="J10" s="4">
        <v>2</v>
      </c>
      <c r="K10" s="4" t="s">
        <v>22</v>
      </c>
      <c r="L10" s="4">
        <v>3</v>
      </c>
      <c r="M10" s="4" t="s">
        <v>22</v>
      </c>
      <c r="N10" s="5">
        <v>2</v>
      </c>
      <c r="O10" s="5" t="s">
        <v>22</v>
      </c>
      <c r="P10" s="5">
        <v>2</v>
      </c>
      <c r="Q10" s="5" t="s">
        <v>22</v>
      </c>
      <c r="R10" s="5">
        <v>3</v>
      </c>
      <c r="S10" s="5" t="s">
        <v>22</v>
      </c>
      <c r="T10" s="5">
        <v>1</v>
      </c>
      <c r="U10" s="5" t="s">
        <v>22</v>
      </c>
      <c r="V10" s="5">
        <v>9</v>
      </c>
      <c r="W10" s="14">
        <v>0.83330000000000004</v>
      </c>
      <c r="X10" s="14">
        <v>0.57399999999999995</v>
      </c>
      <c r="Y10" s="39" t="s">
        <v>35</v>
      </c>
      <c r="Z10" s="14">
        <v>2.16</v>
      </c>
      <c r="AA10" s="14">
        <f>AVERAGE(B10,D10,F10,H10,J10,L10,N10,P10,R10,T10)</f>
        <v>2.4</v>
      </c>
      <c r="AB10" s="14">
        <f>Z10+AA10/Z10</f>
        <v>3.2711111111111109</v>
      </c>
    </row>
    <row r="11" spans="1:32" ht="34" x14ac:dyDescent="0.2">
      <c r="A11" s="4" t="s">
        <v>36</v>
      </c>
      <c r="B11" s="5">
        <v>9</v>
      </c>
      <c r="C11" s="5" t="s">
        <v>22</v>
      </c>
      <c r="D11" s="5">
        <v>13</v>
      </c>
      <c r="E11" s="5" t="s">
        <v>21</v>
      </c>
      <c r="F11" s="5">
        <v>3</v>
      </c>
      <c r="G11" s="5" t="s">
        <v>22</v>
      </c>
      <c r="H11" s="5">
        <v>2</v>
      </c>
      <c r="I11" s="5" t="s">
        <v>22</v>
      </c>
      <c r="J11" s="4">
        <v>1</v>
      </c>
      <c r="K11" s="4" t="s">
        <v>22</v>
      </c>
      <c r="L11" s="4">
        <v>1</v>
      </c>
      <c r="M11" s="4" t="s">
        <v>22</v>
      </c>
      <c r="N11" s="5">
        <v>17</v>
      </c>
      <c r="O11" s="5" t="s">
        <v>21</v>
      </c>
      <c r="P11" s="5">
        <v>16</v>
      </c>
      <c r="Q11" s="5" t="s">
        <v>21</v>
      </c>
      <c r="R11" s="5" t="s">
        <v>23</v>
      </c>
      <c r="S11" s="5" t="s">
        <v>32</v>
      </c>
      <c r="T11" s="5">
        <v>2</v>
      </c>
      <c r="U11" s="5" t="s">
        <v>22</v>
      </c>
      <c r="V11" s="5">
        <v>6</v>
      </c>
      <c r="W11" s="14">
        <v>0.58330000000000004</v>
      </c>
      <c r="X11" s="14">
        <v>0.31159999999999999</v>
      </c>
      <c r="Y11" s="39">
        <v>0.83289999999999997</v>
      </c>
      <c r="Z11" s="14">
        <v>0.8</v>
      </c>
      <c r="AA11" s="14">
        <f>AVERAGE(B11,D11,F11,H11,J11,L11,N11,P11,R11,T11)</f>
        <v>7.1111111111111107</v>
      </c>
      <c r="AB11" s="14">
        <f>Z11+AA11/Z11</f>
        <v>9.6888888888888882</v>
      </c>
    </row>
    <row r="12" spans="1:32" ht="16" x14ac:dyDescent="0.2">
      <c r="A12" s="1"/>
      <c r="B12" s="1"/>
      <c r="C12" s="1"/>
      <c r="D12" s="1"/>
      <c r="E12" s="1"/>
      <c r="F12" s="1"/>
      <c r="G12" s="1"/>
      <c r="H12" s="1"/>
      <c r="I12" s="1"/>
      <c r="J12" s="7"/>
      <c r="K12" s="7"/>
      <c r="L12" s="7"/>
      <c r="M12" s="7"/>
      <c r="N12" s="1"/>
      <c r="O12" s="1"/>
      <c r="P12" s="1"/>
      <c r="Q12" s="1"/>
      <c r="W12" s="14"/>
      <c r="X12" s="14"/>
      <c r="Y12" s="39"/>
    </row>
    <row r="13" spans="1:32" s="12" customFormat="1" ht="51" x14ac:dyDescent="0.2">
      <c r="A13" s="10" t="s">
        <v>37</v>
      </c>
      <c r="B13" s="10" t="s">
        <v>30</v>
      </c>
      <c r="C13" s="10" t="s">
        <v>4</v>
      </c>
      <c r="D13" s="10" t="s">
        <v>3</v>
      </c>
      <c r="E13" s="10" t="s">
        <v>4</v>
      </c>
      <c r="F13" s="10" t="s">
        <v>5</v>
      </c>
      <c r="G13" s="10" t="s">
        <v>4</v>
      </c>
      <c r="H13" s="10" t="s">
        <v>6</v>
      </c>
      <c r="I13" s="10" t="s">
        <v>4</v>
      </c>
      <c r="J13" s="11" t="s">
        <v>7</v>
      </c>
      <c r="K13" s="11" t="s">
        <v>4</v>
      </c>
      <c r="L13" s="11" t="s">
        <v>8</v>
      </c>
      <c r="M13" s="11" t="s">
        <v>4</v>
      </c>
      <c r="N13" s="10" t="s">
        <v>9</v>
      </c>
      <c r="O13" s="10" t="s">
        <v>4</v>
      </c>
      <c r="P13" s="10" t="s">
        <v>10</v>
      </c>
      <c r="Q13" s="10" t="s">
        <v>4</v>
      </c>
      <c r="R13" s="10" t="s">
        <v>11</v>
      </c>
      <c r="S13" s="10" t="s">
        <v>4</v>
      </c>
      <c r="T13" s="10" t="s">
        <v>12</v>
      </c>
      <c r="U13" s="10" t="s">
        <v>4</v>
      </c>
      <c r="V13" s="10" t="s">
        <v>13</v>
      </c>
      <c r="W13" s="13" t="s">
        <v>14</v>
      </c>
      <c r="X13" s="13" t="s">
        <v>15</v>
      </c>
      <c r="Y13" s="38" t="s">
        <v>16</v>
      </c>
      <c r="Z13" s="13" t="s">
        <v>17</v>
      </c>
      <c r="AA13" s="13" t="s">
        <v>18</v>
      </c>
      <c r="AB13" s="13" t="s">
        <v>19</v>
      </c>
    </row>
    <row r="14" spans="1:32" ht="17" x14ac:dyDescent="0.2">
      <c r="A14" s="4" t="s">
        <v>38</v>
      </c>
      <c r="B14" s="5">
        <v>2</v>
      </c>
      <c r="C14" s="5" t="s">
        <v>22</v>
      </c>
      <c r="D14" s="5">
        <v>3</v>
      </c>
      <c r="E14" s="5" t="s">
        <v>22</v>
      </c>
      <c r="F14" s="5">
        <v>3</v>
      </c>
      <c r="G14" s="5" t="s">
        <v>22</v>
      </c>
      <c r="H14" s="5">
        <v>5</v>
      </c>
      <c r="I14" s="5" t="s">
        <v>21</v>
      </c>
      <c r="J14" s="4">
        <v>2</v>
      </c>
      <c r="K14" s="4" t="s">
        <v>22</v>
      </c>
      <c r="L14" s="4">
        <v>1</v>
      </c>
      <c r="M14" s="4" t="s">
        <v>22</v>
      </c>
      <c r="N14" s="5">
        <v>2</v>
      </c>
      <c r="O14" s="5" t="s">
        <v>22</v>
      </c>
      <c r="P14" s="5">
        <v>7</v>
      </c>
      <c r="Q14" s="5" t="s">
        <v>21</v>
      </c>
      <c r="R14" s="5">
        <v>3</v>
      </c>
      <c r="S14" s="5" t="s">
        <v>22</v>
      </c>
      <c r="T14" s="5">
        <v>2</v>
      </c>
      <c r="U14" s="5" t="s">
        <v>22</v>
      </c>
      <c r="V14" s="5">
        <v>8</v>
      </c>
      <c r="W14" s="14">
        <v>0.75</v>
      </c>
      <c r="X14" s="14">
        <v>0.75119999999999998</v>
      </c>
      <c r="Y14" s="39">
        <v>0.95409999999999995</v>
      </c>
      <c r="Z14" s="14">
        <v>2.86</v>
      </c>
      <c r="AA14" s="14">
        <f>AVERAGE(B14,D14,F14,H14,J14,L14,N14,P14,R14,T14)</f>
        <v>3</v>
      </c>
      <c r="AB14" s="14">
        <f>Z14+AA14/Z14</f>
        <v>3.9089510489510486</v>
      </c>
    </row>
    <row r="15" spans="1:32" ht="17" x14ac:dyDescent="0.2">
      <c r="A15" s="4" t="s">
        <v>39</v>
      </c>
      <c r="B15" s="5">
        <v>3</v>
      </c>
      <c r="C15" s="5" t="s">
        <v>22</v>
      </c>
      <c r="D15" s="5">
        <v>2</v>
      </c>
      <c r="E15" s="5" t="s">
        <v>22</v>
      </c>
      <c r="F15" s="5">
        <v>4</v>
      </c>
      <c r="G15" s="5" t="s">
        <v>21</v>
      </c>
      <c r="H15" s="5">
        <v>3</v>
      </c>
      <c r="I15" s="8" t="s">
        <v>22</v>
      </c>
      <c r="J15" s="4">
        <v>4</v>
      </c>
      <c r="K15" s="5" t="s">
        <v>21</v>
      </c>
      <c r="L15" s="4">
        <v>4</v>
      </c>
      <c r="M15" s="5" t="s">
        <v>21</v>
      </c>
      <c r="N15" s="5">
        <v>3</v>
      </c>
      <c r="O15" s="5" t="s">
        <v>22</v>
      </c>
      <c r="P15" s="5">
        <v>2</v>
      </c>
      <c r="Q15" s="5" t="s">
        <v>22</v>
      </c>
      <c r="R15" s="5">
        <v>4</v>
      </c>
      <c r="S15" s="5" t="s">
        <v>21</v>
      </c>
      <c r="T15" s="5">
        <v>3</v>
      </c>
      <c r="U15" s="8" t="s">
        <v>22</v>
      </c>
      <c r="V15" s="8">
        <v>5</v>
      </c>
      <c r="W15" s="14">
        <v>0.5</v>
      </c>
      <c r="X15" s="14">
        <v>0.2366</v>
      </c>
      <c r="Y15" s="39">
        <v>0.76339999999999997</v>
      </c>
      <c r="Z15" s="14">
        <v>2.65</v>
      </c>
      <c r="AA15" s="14">
        <f>AVERAGE(B15,D15,F15,H15,J15,L15,N15,P15,R15,T15)</f>
        <v>3.2</v>
      </c>
      <c r="AB15" s="14">
        <f>Z15+AA15/Z15</f>
        <v>3.8575471698113208</v>
      </c>
    </row>
    <row r="16" spans="1:32" ht="34" x14ac:dyDescent="0.2">
      <c r="A16" s="4" t="s">
        <v>40</v>
      </c>
      <c r="B16" s="5">
        <v>17</v>
      </c>
      <c r="C16" s="5" t="s">
        <v>21</v>
      </c>
      <c r="D16" s="5">
        <v>21</v>
      </c>
      <c r="E16" s="5" t="s">
        <v>21</v>
      </c>
      <c r="F16" s="5">
        <v>6</v>
      </c>
      <c r="G16" s="8" t="s">
        <v>22</v>
      </c>
      <c r="H16" s="5" t="s">
        <v>27</v>
      </c>
      <c r="I16" s="5" t="s">
        <v>21</v>
      </c>
      <c r="J16" s="4">
        <v>6</v>
      </c>
      <c r="K16" s="4" t="s">
        <v>21</v>
      </c>
      <c r="L16" s="4">
        <v>2</v>
      </c>
      <c r="M16" s="4" t="s">
        <v>22</v>
      </c>
      <c r="N16" s="5">
        <v>21</v>
      </c>
      <c r="O16" s="5" t="s">
        <v>21</v>
      </c>
      <c r="P16" s="5">
        <v>19</v>
      </c>
      <c r="Q16" s="5" t="s">
        <v>21</v>
      </c>
      <c r="R16" s="5" t="s">
        <v>27</v>
      </c>
      <c r="S16" s="8" t="s">
        <v>21</v>
      </c>
      <c r="T16" s="5" t="s">
        <v>27</v>
      </c>
      <c r="U16" s="5" t="s">
        <v>21</v>
      </c>
      <c r="V16" s="5">
        <v>2</v>
      </c>
      <c r="W16" s="14">
        <v>0.25</v>
      </c>
      <c r="X16" s="14">
        <v>4.5900000000000003E-2</v>
      </c>
      <c r="Y16" s="39">
        <v>0.52059999999999995</v>
      </c>
      <c r="Z16" s="14">
        <v>11</v>
      </c>
      <c r="AA16" s="14">
        <f>AVERAGE(B16,D16,F16,H16,J16,L16,N16,P16,R16,T16)</f>
        <v>13.142857142857142</v>
      </c>
      <c r="AB16" s="14">
        <f>Z16+AA16/Z16</f>
        <v>12.194805194805195</v>
      </c>
      <c r="AD16" s="14"/>
      <c r="AE16" s="14"/>
      <c r="AF16" s="14"/>
    </row>
    <row r="17" spans="1:28" ht="34" x14ac:dyDescent="0.2">
      <c r="A17" s="4" t="s">
        <v>41</v>
      </c>
      <c r="B17" s="5" t="s">
        <v>26</v>
      </c>
      <c r="C17" s="5" t="s">
        <v>21</v>
      </c>
      <c r="D17" s="5" t="s">
        <v>26</v>
      </c>
      <c r="E17" s="5" t="s">
        <v>21</v>
      </c>
      <c r="F17" s="5" t="s">
        <v>27</v>
      </c>
      <c r="G17" s="5" t="s">
        <v>21</v>
      </c>
      <c r="H17" s="5" t="s">
        <v>42</v>
      </c>
      <c r="I17" s="5" t="s">
        <v>21</v>
      </c>
      <c r="J17" s="4" t="s">
        <v>26</v>
      </c>
      <c r="K17" s="4" t="s">
        <v>21</v>
      </c>
      <c r="L17" s="4" t="s">
        <v>26</v>
      </c>
      <c r="M17" s="4" t="s">
        <v>21</v>
      </c>
      <c r="N17" s="5" t="s">
        <v>26</v>
      </c>
      <c r="O17" s="5" t="s">
        <v>21</v>
      </c>
      <c r="P17" s="5" t="s">
        <v>26</v>
      </c>
      <c r="Q17" s="5" t="s">
        <v>21</v>
      </c>
      <c r="R17" s="5" t="s">
        <v>27</v>
      </c>
      <c r="S17" s="5" t="s">
        <v>21</v>
      </c>
      <c r="T17" s="5" t="s">
        <v>42</v>
      </c>
      <c r="U17" s="5" t="s">
        <v>21</v>
      </c>
      <c r="V17" s="5">
        <v>0</v>
      </c>
      <c r="W17" s="14">
        <v>8.3299999999999999E-2</v>
      </c>
      <c r="X17" s="14">
        <v>0</v>
      </c>
      <c r="Y17" s="39">
        <v>0.24879999999999999</v>
      </c>
      <c r="Z17" s="14" t="s">
        <v>26</v>
      </c>
      <c r="AA17" s="14" t="s">
        <v>26</v>
      </c>
      <c r="AB17" s="14" t="s">
        <v>26</v>
      </c>
    </row>
    <row r="18" spans="1:28" ht="16"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13097-EF46-495E-A0A5-E1A398362E3D}">
  <dimension ref="A1:E17"/>
  <sheetViews>
    <sheetView workbookViewId="0">
      <selection activeCell="K19" sqref="K19"/>
    </sheetView>
  </sheetViews>
  <sheetFormatPr baseColWidth="10" defaultColWidth="8.83203125" defaultRowHeight="16" x14ac:dyDescent="0.2"/>
  <cols>
    <col min="1" max="1" width="54.1640625" customWidth="1"/>
    <col min="2" max="2" width="16.6640625" customWidth="1"/>
    <col min="3" max="3" width="15.33203125" customWidth="1"/>
  </cols>
  <sheetData>
    <row r="1" spans="1:5" ht="21" customHeight="1" x14ac:dyDescent="0.2">
      <c r="A1" s="74" t="s">
        <v>0</v>
      </c>
      <c r="B1" s="65" t="s">
        <v>13</v>
      </c>
      <c r="C1" s="75" t="s">
        <v>14</v>
      </c>
      <c r="D1" s="75" t="s">
        <v>15</v>
      </c>
      <c r="E1" s="75" t="s">
        <v>16</v>
      </c>
    </row>
    <row r="2" spans="1:5" ht="17" x14ac:dyDescent="0.2">
      <c r="A2" s="72" t="s">
        <v>20</v>
      </c>
      <c r="B2" s="70">
        <v>2</v>
      </c>
      <c r="C2" s="25">
        <v>0.25</v>
      </c>
      <c r="D2" s="25">
        <v>4.5900000000000003E-2</v>
      </c>
      <c r="E2" s="25">
        <v>0.52059999999999995</v>
      </c>
    </row>
    <row r="3" spans="1:5" ht="17" x14ac:dyDescent="0.2">
      <c r="A3" s="72" t="s">
        <v>24</v>
      </c>
      <c r="B3" s="70">
        <v>5</v>
      </c>
      <c r="C3" s="25">
        <v>0.5</v>
      </c>
      <c r="D3" s="25">
        <v>0.2366</v>
      </c>
      <c r="E3" s="25">
        <v>0.76339999999999997</v>
      </c>
    </row>
    <row r="4" spans="1:5" ht="34" x14ac:dyDescent="0.2">
      <c r="A4" s="72" t="s">
        <v>25</v>
      </c>
      <c r="B4" s="70">
        <v>3</v>
      </c>
      <c r="C4" s="25">
        <v>0.33329999999999999</v>
      </c>
      <c r="D4" s="25">
        <v>0.1033</v>
      </c>
      <c r="E4" s="25">
        <v>0.60770000000000002</v>
      </c>
    </row>
    <row r="5" spans="1:5" ht="34" x14ac:dyDescent="0.2">
      <c r="A5" s="72" t="s">
        <v>28</v>
      </c>
      <c r="B5" s="70">
        <v>3</v>
      </c>
      <c r="C5" s="25">
        <v>0.33329999999999999</v>
      </c>
      <c r="D5" s="25">
        <v>0.1033</v>
      </c>
      <c r="E5" s="25">
        <v>0.60770000000000002</v>
      </c>
    </row>
    <row r="6" spans="1:5" x14ac:dyDescent="0.2">
      <c r="A6" s="73"/>
      <c r="B6" s="70"/>
      <c r="C6" s="25"/>
      <c r="D6" s="25"/>
      <c r="E6" s="25"/>
    </row>
    <row r="7" spans="1:5" ht="17" x14ac:dyDescent="0.2">
      <c r="A7" s="74" t="s">
        <v>29</v>
      </c>
      <c r="B7" s="65" t="s">
        <v>13</v>
      </c>
      <c r="C7" s="75" t="s">
        <v>14</v>
      </c>
      <c r="D7" s="75" t="s">
        <v>15</v>
      </c>
      <c r="E7" s="75" t="s">
        <v>16</v>
      </c>
    </row>
    <row r="8" spans="1:5" ht="34" x14ac:dyDescent="0.2">
      <c r="A8" s="72" t="s">
        <v>31</v>
      </c>
      <c r="B8" s="70">
        <v>4</v>
      </c>
      <c r="C8" s="25">
        <v>0.41670000000000001</v>
      </c>
      <c r="D8" s="25">
        <v>0.1671</v>
      </c>
      <c r="E8" s="25">
        <v>0.68840000000000001</v>
      </c>
    </row>
    <row r="9" spans="1:5" ht="34" x14ac:dyDescent="0.2">
      <c r="A9" s="72" t="s">
        <v>33</v>
      </c>
      <c r="B9" s="70">
        <v>5</v>
      </c>
      <c r="C9" s="25">
        <v>0.5</v>
      </c>
      <c r="D9" s="25">
        <v>0.2366</v>
      </c>
      <c r="E9" s="25">
        <v>0.76339999999999997</v>
      </c>
    </row>
    <row r="10" spans="1:5" ht="17" x14ac:dyDescent="0.2">
      <c r="A10" s="72" t="s">
        <v>34</v>
      </c>
      <c r="B10" s="70">
        <v>9</v>
      </c>
      <c r="C10" s="25">
        <v>0.83330000000000004</v>
      </c>
      <c r="D10" s="25">
        <v>0.57399999999999995</v>
      </c>
      <c r="E10" s="25" t="s">
        <v>35</v>
      </c>
    </row>
    <row r="11" spans="1:5" ht="17" x14ac:dyDescent="0.2">
      <c r="A11" s="72" t="s">
        <v>36</v>
      </c>
      <c r="B11" s="70">
        <v>6</v>
      </c>
      <c r="C11" s="25">
        <v>0.58330000000000004</v>
      </c>
      <c r="D11" s="25">
        <v>0.31159999999999999</v>
      </c>
      <c r="E11" s="25">
        <v>0.83289999999999997</v>
      </c>
    </row>
    <row r="12" spans="1:5" x14ac:dyDescent="0.2">
      <c r="A12" s="73"/>
      <c r="B12" s="70"/>
      <c r="C12" s="25"/>
      <c r="D12" s="25"/>
      <c r="E12" s="25"/>
    </row>
    <row r="13" spans="1:5" ht="17" x14ac:dyDescent="0.2">
      <c r="A13" s="65" t="s">
        <v>37</v>
      </c>
      <c r="B13" s="65" t="s">
        <v>13</v>
      </c>
      <c r="C13" s="75" t="s">
        <v>14</v>
      </c>
      <c r="D13" s="75" t="s">
        <v>15</v>
      </c>
      <c r="E13" s="75" t="s">
        <v>16</v>
      </c>
    </row>
    <row r="14" spans="1:5" ht="17" x14ac:dyDescent="0.2">
      <c r="A14" s="72" t="s">
        <v>38</v>
      </c>
      <c r="B14" s="70">
        <v>8</v>
      </c>
      <c r="C14" s="25">
        <v>0.75</v>
      </c>
      <c r="D14" s="25">
        <v>0.75119999999999998</v>
      </c>
      <c r="E14" s="25">
        <v>0.95409999999999995</v>
      </c>
    </row>
    <row r="15" spans="1:5" ht="17" x14ac:dyDescent="0.2">
      <c r="A15" s="72" t="s">
        <v>39</v>
      </c>
      <c r="B15" s="71">
        <v>5</v>
      </c>
      <c r="C15" s="25">
        <v>0.5</v>
      </c>
      <c r="D15" s="25">
        <v>0.2366</v>
      </c>
      <c r="E15" s="25">
        <v>0.76339999999999997</v>
      </c>
    </row>
    <row r="16" spans="1:5" ht="17" x14ac:dyDescent="0.2">
      <c r="A16" s="72" t="s">
        <v>40</v>
      </c>
      <c r="B16" s="70">
        <v>2</v>
      </c>
      <c r="C16" s="25">
        <v>0.25</v>
      </c>
      <c r="D16" s="25">
        <v>4.5900000000000003E-2</v>
      </c>
      <c r="E16" s="25">
        <v>0.52059999999999995</v>
      </c>
    </row>
    <row r="17" spans="1:5" ht="17" x14ac:dyDescent="0.2">
      <c r="A17" s="72" t="s">
        <v>41</v>
      </c>
      <c r="B17" s="70">
        <v>0</v>
      </c>
      <c r="C17" s="25">
        <v>8.3299999999999999E-2</v>
      </c>
      <c r="D17" s="25">
        <v>0</v>
      </c>
      <c r="E17" s="25">
        <v>0.24879999999999999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4F8C0-A1EB-4AB9-B67B-D16BD8F4175F}">
  <dimension ref="A1:N23"/>
  <sheetViews>
    <sheetView workbookViewId="0">
      <selection activeCell="C26" sqref="C26"/>
    </sheetView>
  </sheetViews>
  <sheetFormatPr baseColWidth="10" defaultColWidth="8.83203125" defaultRowHeight="16" x14ac:dyDescent="0.2"/>
  <cols>
    <col min="1" max="1" width="37" customWidth="1"/>
    <col min="2" max="2" width="18.5" customWidth="1"/>
    <col min="3" max="3" width="16.83203125" customWidth="1"/>
    <col min="4" max="4" width="19.33203125" customWidth="1"/>
    <col min="5" max="5" width="28" bestFit="1" customWidth="1"/>
    <col min="6" max="6" width="14.6640625" customWidth="1"/>
    <col min="7" max="7" width="17.1640625" customWidth="1"/>
    <col min="8" max="8" width="28" bestFit="1" customWidth="1"/>
    <col min="9" max="9" width="14.5" customWidth="1"/>
    <col min="11" max="11" width="28" bestFit="1" customWidth="1"/>
    <col min="12" max="12" width="9.1640625" bestFit="1" customWidth="1"/>
    <col min="14" max="14" width="12" bestFit="1" customWidth="1"/>
  </cols>
  <sheetData>
    <row r="1" spans="1:14" x14ac:dyDescent="0.2">
      <c r="A1" s="111" t="s">
        <v>43</v>
      </c>
      <c r="B1" s="114" t="s">
        <v>44</v>
      </c>
      <c r="C1" s="115"/>
      <c r="D1" s="115"/>
      <c r="E1" s="115"/>
      <c r="F1" s="115"/>
      <c r="G1" s="115"/>
      <c r="H1" s="115"/>
      <c r="I1" s="115"/>
      <c r="J1" s="115"/>
      <c r="K1" s="115"/>
      <c r="L1" s="115"/>
      <c r="M1" s="115"/>
      <c r="N1" s="112" t="s">
        <v>45</v>
      </c>
    </row>
    <row r="2" spans="1:14" ht="81" customHeight="1" x14ac:dyDescent="0.2">
      <c r="A2" s="111"/>
      <c r="B2" s="55" t="s">
        <v>20</v>
      </c>
      <c r="C2" s="56" t="s">
        <v>24</v>
      </c>
      <c r="D2" s="56" t="s">
        <v>25</v>
      </c>
      <c r="E2" s="60" t="s">
        <v>46</v>
      </c>
      <c r="F2" s="54" t="s">
        <v>31</v>
      </c>
      <c r="G2" s="58" t="s">
        <v>33</v>
      </c>
      <c r="H2" s="59" t="s">
        <v>34</v>
      </c>
      <c r="I2" s="64" t="s">
        <v>36</v>
      </c>
      <c r="J2" s="61" t="s">
        <v>38</v>
      </c>
      <c r="K2" s="62" t="s">
        <v>39</v>
      </c>
      <c r="L2" s="62" t="s">
        <v>40</v>
      </c>
      <c r="M2" s="63" t="s">
        <v>41</v>
      </c>
      <c r="N2" s="113"/>
    </row>
    <row r="3" spans="1:14" x14ac:dyDescent="0.2">
      <c r="A3" t="s">
        <v>47</v>
      </c>
      <c r="B3" s="43">
        <v>0</v>
      </c>
      <c r="C3" s="47">
        <v>1</v>
      </c>
      <c r="D3" s="47">
        <v>1</v>
      </c>
      <c r="E3" s="47">
        <v>0</v>
      </c>
      <c r="F3" s="44">
        <v>1</v>
      </c>
      <c r="G3" s="48">
        <v>1</v>
      </c>
      <c r="H3" s="48">
        <v>1</v>
      </c>
      <c r="I3" s="48">
        <v>1</v>
      </c>
      <c r="J3" s="45">
        <v>1</v>
      </c>
      <c r="K3" s="49">
        <v>1</v>
      </c>
      <c r="L3" s="49">
        <v>0</v>
      </c>
      <c r="M3" s="46">
        <v>0</v>
      </c>
      <c r="N3" s="50">
        <f t="shared" ref="N3:N13" si="0">SUM(B3:M3)/10</f>
        <v>0.8</v>
      </c>
    </row>
    <row r="4" spans="1:14" x14ac:dyDescent="0.2">
      <c r="A4" t="s">
        <v>48</v>
      </c>
      <c r="B4" s="43">
        <v>0</v>
      </c>
      <c r="C4" s="47">
        <v>1</v>
      </c>
      <c r="D4" s="47">
        <v>0</v>
      </c>
      <c r="E4" s="47">
        <v>0</v>
      </c>
      <c r="F4" s="44">
        <v>0</v>
      </c>
      <c r="G4" s="48">
        <v>1</v>
      </c>
      <c r="H4" s="48">
        <v>0</v>
      </c>
      <c r="I4" s="48">
        <v>0</v>
      </c>
      <c r="J4" s="45">
        <v>1</v>
      </c>
      <c r="K4" s="49">
        <v>1</v>
      </c>
      <c r="L4" s="49">
        <v>0</v>
      </c>
      <c r="M4" s="46">
        <v>0</v>
      </c>
      <c r="N4" s="50">
        <f t="shared" si="0"/>
        <v>0.4</v>
      </c>
    </row>
    <row r="5" spans="1:14" x14ac:dyDescent="0.2">
      <c r="A5" t="s">
        <v>49</v>
      </c>
      <c r="B5" s="43">
        <v>0</v>
      </c>
      <c r="C5" s="47">
        <v>0</v>
      </c>
      <c r="D5" s="47">
        <v>1</v>
      </c>
      <c r="E5" s="47">
        <v>1</v>
      </c>
      <c r="F5" s="44">
        <v>1</v>
      </c>
      <c r="G5" s="48">
        <v>1</v>
      </c>
      <c r="H5" s="48">
        <v>1</v>
      </c>
      <c r="I5" s="48">
        <v>1</v>
      </c>
      <c r="J5" s="45">
        <v>1</v>
      </c>
      <c r="K5" s="49">
        <v>0</v>
      </c>
      <c r="L5" s="49">
        <v>1</v>
      </c>
      <c r="M5" s="46">
        <v>0</v>
      </c>
      <c r="N5" s="50">
        <f t="shared" si="0"/>
        <v>0.8</v>
      </c>
    </row>
    <row r="6" spans="1:14" x14ac:dyDescent="0.2">
      <c r="A6" t="s">
        <v>50</v>
      </c>
      <c r="B6" s="43">
        <v>0</v>
      </c>
      <c r="C6" s="47">
        <v>0</v>
      </c>
      <c r="D6" s="47">
        <v>0</v>
      </c>
      <c r="E6" s="47">
        <v>0</v>
      </c>
      <c r="F6" s="44">
        <v>1</v>
      </c>
      <c r="G6" s="48">
        <v>0</v>
      </c>
      <c r="H6" s="48">
        <v>1</v>
      </c>
      <c r="I6" s="48">
        <v>1</v>
      </c>
      <c r="J6" s="45">
        <v>0</v>
      </c>
      <c r="K6" s="49">
        <v>1</v>
      </c>
      <c r="L6" s="49">
        <v>0</v>
      </c>
      <c r="M6" s="46">
        <v>0</v>
      </c>
      <c r="N6" s="50">
        <f t="shared" si="0"/>
        <v>0.4</v>
      </c>
    </row>
    <row r="7" spans="1:14" x14ac:dyDescent="0.2">
      <c r="A7" t="s">
        <v>51</v>
      </c>
      <c r="B7" s="43">
        <v>0</v>
      </c>
      <c r="C7" s="47">
        <v>1</v>
      </c>
      <c r="D7" s="47">
        <v>0</v>
      </c>
      <c r="E7" s="47">
        <v>0</v>
      </c>
      <c r="F7" s="44">
        <v>0</v>
      </c>
      <c r="G7" s="48">
        <v>1</v>
      </c>
      <c r="H7" s="48">
        <v>1</v>
      </c>
      <c r="I7" s="48">
        <v>1</v>
      </c>
      <c r="J7" s="45">
        <v>1</v>
      </c>
      <c r="K7" s="49">
        <v>0</v>
      </c>
      <c r="L7" s="49">
        <v>0</v>
      </c>
      <c r="M7" s="46">
        <v>0</v>
      </c>
      <c r="N7" s="50">
        <f t="shared" si="0"/>
        <v>0.5</v>
      </c>
    </row>
    <row r="8" spans="1:14" x14ac:dyDescent="0.2">
      <c r="A8" t="s">
        <v>52</v>
      </c>
      <c r="B8" s="43">
        <v>0</v>
      </c>
      <c r="C8" s="47">
        <v>1</v>
      </c>
      <c r="D8" s="47">
        <v>0</v>
      </c>
      <c r="E8" s="47">
        <v>1</v>
      </c>
      <c r="F8" s="44">
        <v>0</v>
      </c>
      <c r="G8" s="48">
        <v>0</v>
      </c>
      <c r="H8" s="48">
        <v>1</v>
      </c>
      <c r="I8" s="48">
        <v>1</v>
      </c>
      <c r="J8" s="45">
        <v>1</v>
      </c>
      <c r="K8" s="49">
        <v>0</v>
      </c>
      <c r="L8" s="49">
        <v>1</v>
      </c>
      <c r="M8" s="46">
        <v>0</v>
      </c>
      <c r="N8" s="50">
        <f t="shared" si="0"/>
        <v>0.6</v>
      </c>
    </row>
    <row r="9" spans="1:14" x14ac:dyDescent="0.2">
      <c r="A9" t="s">
        <v>53</v>
      </c>
      <c r="B9" s="43">
        <v>1</v>
      </c>
      <c r="C9" s="47">
        <v>0</v>
      </c>
      <c r="D9" s="47">
        <v>0</v>
      </c>
      <c r="E9" s="47">
        <v>0</v>
      </c>
      <c r="F9" s="44">
        <v>1</v>
      </c>
      <c r="G9" s="48">
        <v>0</v>
      </c>
      <c r="H9" s="48">
        <v>1</v>
      </c>
      <c r="I9" s="48">
        <v>0</v>
      </c>
      <c r="J9" s="45">
        <v>1</v>
      </c>
      <c r="K9" s="49">
        <v>1</v>
      </c>
      <c r="L9" s="49">
        <v>0</v>
      </c>
      <c r="M9" s="46">
        <v>0</v>
      </c>
      <c r="N9" s="50">
        <f t="shared" si="0"/>
        <v>0.5</v>
      </c>
    </row>
    <row r="10" spans="1:14" x14ac:dyDescent="0.2">
      <c r="A10" t="s">
        <v>54</v>
      </c>
      <c r="B10" s="43">
        <v>0</v>
      </c>
      <c r="C10" s="47">
        <v>0</v>
      </c>
      <c r="D10" s="47">
        <v>0</v>
      </c>
      <c r="E10" s="47">
        <v>0</v>
      </c>
      <c r="F10" s="44">
        <v>0</v>
      </c>
      <c r="G10" s="48">
        <v>0</v>
      </c>
      <c r="H10" s="48">
        <v>1</v>
      </c>
      <c r="I10" s="48">
        <v>0</v>
      </c>
      <c r="J10" s="45">
        <v>0</v>
      </c>
      <c r="K10" s="49">
        <v>1</v>
      </c>
      <c r="L10" s="49">
        <v>0</v>
      </c>
      <c r="M10" s="46">
        <v>0</v>
      </c>
      <c r="N10" s="50">
        <f t="shared" si="0"/>
        <v>0.2</v>
      </c>
    </row>
    <row r="11" spans="1:14" x14ac:dyDescent="0.2">
      <c r="A11" t="s">
        <v>55</v>
      </c>
      <c r="B11" s="43">
        <v>0</v>
      </c>
      <c r="C11" s="47">
        <v>0</v>
      </c>
      <c r="D11" s="47">
        <v>1</v>
      </c>
      <c r="E11" s="47">
        <v>1</v>
      </c>
      <c r="F11" s="44">
        <v>0</v>
      </c>
      <c r="G11" s="48">
        <v>0</v>
      </c>
      <c r="H11" s="48">
        <v>1</v>
      </c>
      <c r="I11" s="48">
        <v>0</v>
      </c>
      <c r="J11" s="45">
        <v>1</v>
      </c>
      <c r="K11" s="49">
        <v>0</v>
      </c>
      <c r="L11" s="49">
        <v>0</v>
      </c>
      <c r="M11" s="46">
        <v>0</v>
      </c>
      <c r="N11" s="50">
        <f t="shared" si="0"/>
        <v>0.4</v>
      </c>
    </row>
    <row r="12" spans="1:14" x14ac:dyDescent="0.2">
      <c r="A12" t="s">
        <v>56</v>
      </c>
      <c r="B12" s="43">
        <v>1</v>
      </c>
      <c r="C12" s="47">
        <v>1</v>
      </c>
      <c r="D12" s="47">
        <v>0</v>
      </c>
      <c r="E12" s="47">
        <v>0</v>
      </c>
      <c r="F12" s="44">
        <v>0</v>
      </c>
      <c r="G12" s="48">
        <v>1</v>
      </c>
      <c r="H12" s="48">
        <v>1</v>
      </c>
      <c r="I12" s="48">
        <v>1</v>
      </c>
      <c r="J12" s="45">
        <v>1</v>
      </c>
      <c r="K12" s="49">
        <v>1</v>
      </c>
      <c r="L12" s="49">
        <v>0</v>
      </c>
      <c r="M12" s="46">
        <v>0</v>
      </c>
      <c r="N12" s="50">
        <f t="shared" si="0"/>
        <v>0.7</v>
      </c>
    </row>
    <row r="13" spans="1:14" x14ac:dyDescent="0.2">
      <c r="A13" s="42" t="s">
        <v>45</v>
      </c>
      <c r="B13" s="51">
        <f t="shared" ref="B13:L13" si="1">SUM(B3:B12)/10</f>
        <v>0.2</v>
      </c>
      <c r="C13" s="52">
        <f t="shared" si="1"/>
        <v>0.5</v>
      </c>
      <c r="D13" s="52">
        <f t="shared" si="1"/>
        <v>0.3</v>
      </c>
      <c r="E13" s="52">
        <f t="shared" si="1"/>
        <v>0.3</v>
      </c>
      <c r="F13" s="51">
        <f t="shared" si="1"/>
        <v>0.4</v>
      </c>
      <c r="G13" s="52">
        <f t="shared" si="1"/>
        <v>0.5</v>
      </c>
      <c r="H13" s="52">
        <f t="shared" si="1"/>
        <v>0.9</v>
      </c>
      <c r="I13" s="52">
        <f t="shared" si="1"/>
        <v>0.6</v>
      </c>
      <c r="J13" s="51">
        <f t="shared" si="1"/>
        <v>0.8</v>
      </c>
      <c r="K13" s="52">
        <f t="shared" si="1"/>
        <v>0.6</v>
      </c>
      <c r="L13" s="52">
        <f t="shared" si="1"/>
        <v>0.2</v>
      </c>
      <c r="M13" s="53">
        <f>O13</f>
        <v>0</v>
      </c>
      <c r="N13" s="53">
        <f t="shared" si="0"/>
        <v>0.53</v>
      </c>
    </row>
    <row r="16" spans="1:14" x14ac:dyDescent="0.2">
      <c r="A16" s="103" t="s">
        <v>57</v>
      </c>
      <c r="B16" s="104"/>
      <c r="E16" s="76" t="s">
        <v>58</v>
      </c>
      <c r="F16" s="77"/>
      <c r="H16" s="85" t="s">
        <v>59</v>
      </c>
      <c r="I16" s="86"/>
      <c r="K16" s="94" t="s">
        <v>60</v>
      </c>
      <c r="L16" s="95"/>
    </row>
    <row r="17" spans="1:12" x14ac:dyDescent="0.2">
      <c r="A17" s="105" t="s">
        <v>61</v>
      </c>
      <c r="B17" s="106">
        <v>0.53</v>
      </c>
      <c r="E17" s="76" t="s">
        <v>61</v>
      </c>
      <c r="F17" s="78">
        <v>0.53</v>
      </c>
      <c r="H17" s="87" t="s">
        <v>61</v>
      </c>
      <c r="I17" s="86">
        <v>0.53</v>
      </c>
      <c r="K17" s="96" t="s">
        <v>61</v>
      </c>
      <c r="L17" s="97">
        <v>0.53</v>
      </c>
    </row>
    <row r="18" spans="1:12" x14ac:dyDescent="0.2">
      <c r="A18" s="105" t="s">
        <v>62</v>
      </c>
      <c r="B18" s="106">
        <v>10</v>
      </c>
      <c r="E18" s="76" t="s">
        <v>62</v>
      </c>
      <c r="F18" s="78">
        <v>10</v>
      </c>
      <c r="H18" s="88" t="s">
        <v>62</v>
      </c>
      <c r="I18" s="89">
        <v>10</v>
      </c>
      <c r="K18" s="98" t="s">
        <v>62</v>
      </c>
      <c r="L18" s="99">
        <v>10</v>
      </c>
    </row>
    <row r="19" spans="1:12" x14ac:dyDescent="0.2">
      <c r="A19" s="105" t="s">
        <v>63</v>
      </c>
      <c r="B19" s="106">
        <v>5</v>
      </c>
      <c r="E19" s="79" t="s">
        <v>63</v>
      </c>
      <c r="F19" s="80">
        <v>3</v>
      </c>
      <c r="H19" s="88" t="s">
        <v>63</v>
      </c>
      <c r="I19" s="90">
        <v>6</v>
      </c>
      <c r="K19" s="98" t="s">
        <v>63</v>
      </c>
      <c r="L19" s="99">
        <v>4</v>
      </c>
    </row>
    <row r="20" spans="1:12" x14ac:dyDescent="0.2">
      <c r="A20" s="107" t="s">
        <v>64</v>
      </c>
      <c r="B20" s="104" t="s">
        <v>65</v>
      </c>
      <c r="E20" s="81"/>
      <c r="F20" s="82"/>
      <c r="H20" s="91"/>
      <c r="I20" s="92"/>
      <c r="K20" s="100"/>
      <c r="L20" s="101"/>
    </row>
    <row r="21" spans="1:12" x14ac:dyDescent="0.2">
      <c r="A21" s="105"/>
      <c r="B21" s="106" t="s">
        <v>66</v>
      </c>
      <c r="E21" s="81"/>
      <c r="F21" s="82"/>
      <c r="H21" s="91"/>
      <c r="I21" s="92"/>
      <c r="K21" s="100"/>
      <c r="L21" s="101"/>
    </row>
    <row r="22" spans="1:12" x14ac:dyDescent="0.2">
      <c r="A22" s="108"/>
      <c r="B22" s="109">
        <f>1-(1-0.53)^10</f>
        <v>0.99947400867764169</v>
      </c>
      <c r="E22" s="81"/>
      <c r="F22" s="82"/>
      <c r="H22" s="91"/>
      <c r="I22" s="92"/>
      <c r="K22" s="100"/>
      <c r="L22" s="101"/>
    </row>
    <row r="23" spans="1:12" x14ac:dyDescent="0.2">
      <c r="A23" s="108" t="s">
        <v>67</v>
      </c>
      <c r="B23" s="110">
        <v>0.99939999999999996</v>
      </c>
      <c r="E23" s="83" t="s">
        <v>67</v>
      </c>
      <c r="F23" s="84">
        <v>8.1799999999999998E-2</v>
      </c>
      <c r="H23" s="87" t="s">
        <v>67</v>
      </c>
      <c r="I23" s="93">
        <v>0.66090000000000004</v>
      </c>
      <c r="K23" s="96" t="s">
        <v>67</v>
      </c>
      <c r="L23" s="102">
        <v>0.21640000000000001</v>
      </c>
    </row>
  </sheetData>
  <mergeCells count="3">
    <mergeCell ref="A1:A2"/>
    <mergeCell ref="N1:N2"/>
    <mergeCell ref="B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AFD2B-2718-48AC-A94A-20D7E1218D99}">
  <dimension ref="A1:X17"/>
  <sheetViews>
    <sheetView workbookViewId="0">
      <selection activeCell="AA17" sqref="AA17"/>
    </sheetView>
  </sheetViews>
  <sheetFormatPr baseColWidth="10" defaultColWidth="8.83203125" defaultRowHeight="16" x14ac:dyDescent="0.2"/>
  <cols>
    <col min="1" max="1" width="57.33203125" customWidth="1"/>
    <col min="2" max="5" width="0" hidden="1" customWidth="1"/>
    <col min="6" max="6" width="10.83203125" hidden="1" customWidth="1"/>
    <col min="7" max="7" width="0" hidden="1" customWidth="1"/>
    <col min="8" max="8" width="11.5" hidden="1" customWidth="1"/>
    <col min="9" max="17" width="0" hidden="1" customWidth="1"/>
    <col min="18" max="18" width="10.6640625" hidden="1" customWidth="1"/>
    <col min="19" max="19" width="0" hidden="1" customWidth="1"/>
    <col min="20" max="20" width="10" hidden="1" customWidth="1"/>
    <col min="21" max="21" width="0" hidden="1" customWidth="1"/>
    <col min="22" max="22" width="24.6640625" customWidth="1"/>
    <col min="23" max="23" width="22.6640625" customWidth="1"/>
    <col min="24" max="24" width="26.6640625" customWidth="1"/>
  </cols>
  <sheetData>
    <row r="1" spans="1:24" ht="51" x14ac:dyDescent="0.2">
      <c r="A1" s="66" t="s">
        <v>0</v>
      </c>
      <c r="B1" s="10" t="s">
        <v>1</v>
      </c>
      <c r="C1" s="10" t="s">
        <v>68</v>
      </c>
      <c r="D1" s="10" t="s">
        <v>69</v>
      </c>
      <c r="E1" s="10" t="s">
        <v>4</v>
      </c>
      <c r="F1" s="10" t="s">
        <v>70</v>
      </c>
      <c r="G1" s="10" t="s">
        <v>4</v>
      </c>
      <c r="H1" s="10" t="s">
        <v>71</v>
      </c>
      <c r="I1" s="10" t="s">
        <v>4</v>
      </c>
      <c r="J1" s="11" t="s">
        <v>7</v>
      </c>
      <c r="K1" s="11" t="s">
        <v>4</v>
      </c>
      <c r="L1" s="11" t="s">
        <v>72</v>
      </c>
      <c r="M1" s="11" t="s">
        <v>4</v>
      </c>
      <c r="N1" s="10" t="s">
        <v>73</v>
      </c>
      <c r="O1" s="10" t="s">
        <v>4</v>
      </c>
      <c r="P1" s="10" t="s">
        <v>74</v>
      </c>
      <c r="Q1" s="10" t="s">
        <v>4</v>
      </c>
      <c r="R1" s="10" t="s">
        <v>75</v>
      </c>
      <c r="S1" s="10" t="s">
        <v>4</v>
      </c>
      <c r="T1" s="10" t="s">
        <v>76</v>
      </c>
      <c r="U1" s="10" t="s">
        <v>4</v>
      </c>
      <c r="V1" s="65" t="s">
        <v>77</v>
      </c>
      <c r="W1" s="65" t="s">
        <v>78</v>
      </c>
      <c r="X1" s="65" t="s">
        <v>79</v>
      </c>
    </row>
    <row r="2" spans="1:24" ht="17" x14ac:dyDescent="0.2">
      <c r="A2" s="68" t="s">
        <v>20</v>
      </c>
      <c r="B2" s="5">
        <v>10</v>
      </c>
      <c r="C2" s="5" t="s">
        <v>21</v>
      </c>
      <c r="D2" s="5">
        <v>12</v>
      </c>
      <c r="E2" s="5" t="s">
        <v>21</v>
      </c>
      <c r="F2" s="5">
        <v>12</v>
      </c>
      <c r="G2" s="5" t="s">
        <v>21</v>
      </c>
      <c r="H2" s="5">
        <v>20</v>
      </c>
      <c r="I2" s="5" t="s">
        <v>21</v>
      </c>
      <c r="J2" s="4">
        <v>11</v>
      </c>
      <c r="K2" s="4" t="s">
        <v>21</v>
      </c>
      <c r="L2" s="4">
        <v>12</v>
      </c>
      <c r="M2" s="4" t="s">
        <v>21</v>
      </c>
      <c r="N2" s="5">
        <v>4</v>
      </c>
      <c r="O2" s="5" t="s">
        <v>22</v>
      </c>
      <c r="P2" s="5">
        <v>10</v>
      </c>
      <c r="Q2" s="5" t="s">
        <v>21</v>
      </c>
      <c r="R2" s="5" t="s">
        <v>23</v>
      </c>
      <c r="S2" s="5" t="s">
        <v>21</v>
      </c>
      <c r="T2" s="5">
        <v>5</v>
      </c>
      <c r="U2" s="5" t="s">
        <v>22</v>
      </c>
      <c r="V2" s="25">
        <v>2.95</v>
      </c>
      <c r="W2" s="25">
        <f>AVERAGE(B2,D2,F2,H2,J2,L2,N2,P2,R2,T2)</f>
        <v>10.666666666666666</v>
      </c>
      <c r="X2" s="25">
        <f>V2+W2/V2</f>
        <v>6.5658192090395477</v>
      </c>
    </row>
    <row r="3" spans="1:24" ht="17" x14ac:dyDescent="0.2">
      <c r="A3" s="68" t="s">
        <v>24</v>
      </c>
      <c r="B3" s="5">
        <v>7</v>
      </c>
      <c r="C3" s="5" t="s">
        <v>22</v>
      </c>
      <c r="D3" s="5">
        <v>9</v>
      </c>
      <c r="E3" s="5" t="s">
        <v>22</v>
      </c>
      <c r="F3" s="5">
        <v>20</v>
      </c>
      <c r="G3" s="5" t="s">
        <v>21</v>
      </c>
      <c r="H3" s="5">
        <v>15</v>
      </c>
      <c r="I3" s="5" t="s">
        <v>21</v>
      </c>
      <c r="J3" s="4">
        <v>4</v>
      </c>
      <c r="K3" s="4" t="s">
        <v>22</v>
      </c>
      <c r="L3" s="4">
        <v>8</v>
      </c>
      <c r="M3" s="4" t="s">
        <v>22</v>
      </c>
      <c r="N3" s="5">
        <v>12</v>
      </c>
      <c r="O3" s="5" t="s">
        <v>21</v>
      </c>
      <c r="P3" s="5">
        <v>25</v>
      </c>
      <c r="Q3" s="5" t="s">
        <v>21</v>
      </c>
      <c r="R3" s="5">
        <v>20</v>
      </c>
      <c r="S3" s="5" t="s">
        <v>21</v>
      </c>
      <c r="T3" s="5">
        <v>7</v>
      </c>
      <c r="U3" s="5" t="s">
        <v>22</v>
      </c>
      <c r="V3" s="25">
        <v>8</v>
      </c>
      <c r="W3" s="25">
        <f>AVERAGE(B3,D3,F3,H3,J3,L3,N3,P3,R3,T3)</f>
        <v>12.7</v>
      </c>
      <c r="X3" s="25">
        <f>V3+W3/V3</f>
        <v>9.5875000000000004</v>
      </c>
    </row>
    <row r="4" spans="1:24" ht="34" x14ac:dyDescent="0.2">
      <c r="A4" s="68" t="s">
        <v>25</v>
      </c>
      <c r="B4" s="5">
        <v>9</v>
      </c>
      <c r="C4" s="5" t="s">
        <v>22</v>
      </c>
      <c r="D4" s="5" t="s">
        <v>26</v>
      </c>
      <c r="E4" s="5" t="s">
        <v>21</v>
      </c>
      <c r="F4" s="5">
        <v>8</v>
      </c>
      <c r="G4" s="5" t="s">
        <v>22</v>
      </c>
      <c r="H4" s="5" t="s">
        <v>27</v>
      </c>
      <c r="I4" s="5" t="s">
        <v>21</v>
      </c>
      <c r="J4" s="4">
        <v>17</v>
      </c>
      <c r="K4" s="4" t="s">
        <v>21</v>
      </c>
      <c r="L4" s="4">
        <v>20</v>
      </c>
      <c r="M4" s="4" t="s">
        <v>21</v>
      </c>
      <c r="N4" s="5">
        <v>12</v>
      </c>
      <c r="O4" s="5" t="s">
        <v>21</v>
      </c>
      <c r="P4" s="5">
        <v>34</v>
      </c>
      <c r="Q4" s="5" t="s">
        <v>21</v>
      </c>
      <c r="R4" s="5">
        <v>8</v>
      </c>
      <c r="S4" s="5" t="s">
        <v>22</v>
      </c>
      <c r="T4" s="5">
        <v>30</v>
      </c>
      <c r="U4" s="5" t="s">
        <v>21</v>
      </c>
      <c r="V4" s="25">
        <v>8</v>
      </c>
      <c r="W4" s="25">
        <f>AVERAGE(B4,D4,F4,H4,J4,L4,N4,P4,R4,T4)</f>
        <v>17.25</v>
      </c>
      <c r="X4" s="25">
        <f>V4+W4/V4</f>
        <v>10.15625</v>
      </c>
    </row>
    <row r="5" spans="1:24" ht="34" x14ac:dyDescent="0.2">
      <c r="A5" s="68" t="s">
        <v>28</v>
      </c>
      <c r="B5" s="5">
        <v>45</v>
      </c>
      <c r="C5" s="5" t="s">
        <v>21</v>
      </c>
      <c r="D5" s="5">
        <v>85</v>
      </c>
      <c r="E5" s="5" t="s">
        <v>21</v>
      </c>
      <c r="F5" s="5">
        <v>5</v>
      </c>
      <c r="G5" s="5" t="s">
        <v>22</v>
      </c>
      <c r="H5" s="5" t="s">
        <v>27</v>
      </c>
      <c r="I5" s="5" t="s">
        <v>21</v>
      </c>
      <c r="J5" s="4">
        <v>17</v>
      </c>
      <c r="K5" s="4" t="s">
        <v>21</v>
      </c>
      <c r="L5" s="4">
        <v>11</v>
      </c>
      <c r="M5" s="4" t="s">
        <v>22</v>
      </c>
      <c r="N5" s="5">
        <v>33</v>
      </c>
      <c r="O5" s="5" t="s">
        <v>21</v>
      </c>
      <c r="P5" s="5">
        <v>66</v>
      </c>
      <c r="Q5" s="5" t="s">
        <v>21</v>
      </c>
      <c r="R5" s="5">
        <v>5</v>
      </c>
      <c r="S5" s="5" t="s">
        <v>22</v>
      </c>
      <c r="T5" s="5">
        <v>35</v>
      </c>
      <c r="U5" s="5" t="s">
        <v>21</v>
      </c>
      <c r="V5" s="25">
        <v>4</v>
      </c>
      <c r="W5" s="25">
        <f>AVERAGE(B5,D5,F5,H5,J5,L5,N5,P5,R5,T5)</f>
        <v>33.555555555555557</v>
      </c>
      <c r="X5" s="25">
        <f>V5+W5/V5</f>
        <v>12.388888888888889</v>
      </c>
    </row>
    <row r="6" spans="1:24" x14ac:dyDescent="0.2">
      <c r="A6" s="69"/>
      <c r="B6" s="1"/>
      <c r="C6" s="1"/>
      <c r="D6" s="1"/>
      <c r="E6" s="1"/>
      <c r="F6" s="1"/>
      <c r="G6" s="1"/>
      <c r="H6" s="1"/>
      <c r="I6" s="1"/>
      <c r="J6" s="7"/>
      <c r="K6" s="7"/>
      <c r="L6" s="7"/>
      <c r="M6" s="7"/>
      <c r="N6" s="1"/>
      <c r="O6" s="1"/>
      <c r="P6" s="1"/>
      <c r="Q6" s="1"/>
      <c r="R6" s="1"/>
      <c r="S6" s="1"/>
      <c r="T6" s="1"/>
      <c r="U6" s="1"/>
      <c r="V6" s="25"/>
      <c r="W6" s="25"/>
      <c r="X6" s="25"/>
    </row>
    <row r="7" spans="1:24" ht="51" x14ac:dyDescent="0.2">
      <c r="A7" s="66" t="s">
        <v>29</v>
      </c>
      <c r="B7" s="10" t="s">
        <v>1</v>
      </c>
      <c r="C7" s="10" t="s">
        <v>68</v>
      </c>
      <c r="D7" s="10" t="s">
        <v>69</v>
      </c>
      <c r="E7" s="10" t="s">
        <v>4</v>
      </c>
      <c r="F7" s="10" t="s">
        <v>70</v>
      </c>
      <c r="G7" s="10" t="s">
        <v>4</v>
      </c>
      <c r="H7" s="10" t="s">
        <v>71</v>
      </c>
      <c r="I7" s="10" t="s">
        <v>4</v>
      </c>
      <c r="J7" s="11" t="s">
        <v>7</v>
      </c>
      <c r="K7" s="11" t="s">
        <v>4</v>
      </c>
      <c r="L7" s="11" t="s">
        <v>72</v>
      </c>
      <c r="M7" s="11" t="s">
        <v>4</v>
      </c>
      <c r="N7" s="10" t="s">
        <v>73</v>
      </c>
      <c r="O7" s="10" t="s">
        <v>4</v>
      </c>
      <c r="P7" s="10" t="s">
        <v>74</v>
      </c>
      <c r="Q7" s="10" t="s">
        <v>4</v>
      </c>
      <c r="R7" s="10" t="s">
        <v>75</v>
      </c>
      <c r="S7" s="10" t="s">
        <v>4</v>
      </c>
      <c r="T7" s="10" t="s">
        <v>76</v>
      </c>
      <c r="U7" s="10" t="s">
        <v>4</v>
      </c>
      <c r="V7" s="65" t="s">
        <v>77</v>
      </c>
      <c r="W7" s="65" t="s">
        <v>78</v>
      </c>
      <c r="X7" s="65" t="s">
        <v>79</v>
      </c>
    </row>
    <row r="8" spans="1:24" ht="17" x14ac:dyDescent="0.2">
      <c r="A8" s="68" t="s">
        <v>31</v>
      </c>
      <c r="B8" s="5">
        <v>6</v>
      </c>
      <c r="C8" s="5" t="s">
        <v>22</v>
      </c>
      <c r="D8" s="5">
        <v>12</v>
      </c>
      <c r="E8" s="5" t="s">
        <v>21</v>
      </c>
      <c r="F8" s="5">
        <v>8</v>
      </c>
      <c r="G8" s="5" t="s">
        <v>22</v>
      </c>
      <c r="H8" s="5">
        <v>8</v>
      </c>
      <c r="I8" s="5" t="s">
        <v>22</v>
      </c>
      <c r="J8" s="4">
        <v>16</v>
      </c>
      <c r="K8" s="4" t="s">
        <v>21</v>
      </c>
      <c r="L8" s="4">
        <v>14</v>
      </c>
      <c r="M8" s="4" t="s">
        <v>21</v>
      </c>
      <c r="N8" s="5">
        <v>5</v>
      </c>
      <c r="O8" s="5" t="s">
        <v>22</v>
      </c>
      <c r="P8" s="5">
        <v>12</v>
      </c>
      <c r="Q8" s="5" t="s">
        <v>21</v>
      </c>
      <c r="R8" s="5">
        <v>24</v>
      </c>
      <c r="S8" s="5" t="s">
        <v>32</v>
      </c>
      <c r="T8" s="5">
        <v>12</v>
      </c>
      <c r="U8" s="5" t="s">
        <v>21</v>
      </c>
      <c r="V8" s="25">
        <v>9</v>
      </c>
      <c r="W8" s="25">
        <f>AVERAGE(B8,D8,F8,H8,J8,L8,N8,P8,R8,T8)</f>
        <v>11.7</v>
      </c>
      <c r="X8" s="25">
        <f>V8+W8/V8</f>
        <v>10.3</v>
      </c>
    </row>
    <row r="9" spans="1:24" ht="34" x14ac:dyDescent="0.2">
      <c r="A9" s="68" t="s">
        <v>33</v>
      </c>
      <c r="B9" s="5">
        <v>3</v>
      </c>
      <c r="C9" s="5" t="s">
        <v>22</v>
      </c>
      <c r="D9" s="5">
        <v>4</v>
      </c>
      <c r="E9" s="5" t="s">
        <v>22</v>
      </c>
      <c r="F9" s="5">
        <v>4</v>
      </c>
      <c r="G9" s="5" t="s">
        <v>22</v>
      </c>
      <c r="H9" s="5">
        <v>6</v>
      </c>
      <c r="I9" s="5" t="s">
        <v>32</v>
      </c>
      <c r="J9" s="4">
        <v>5</v>
      </c>
      <c r="K9" s="4" t="s">
        <v>22</v>
      </c>
      <c r="L9" s="4">
        <v>12</v>
      </c>
      <c r="M9" s="4" t="s">
        <v>21</v>
      </c>
      <c r="N9" s="5">
        <v>12</v>
      </c>
      <c r="O9" s="5" t="s">
        <v>21</v>
      </c>
      <c r="P9" s="5">
        <v>6</v>
      </c>
      <c r="Q9" s="5" t="s">
        <v>32</v>
      </c>
      <c r="R9" s="5" t="s">
        <v>23</v>
      </c>
      <c r="S9" s="5" t="s">
        <v>32</v>
      </c>
      <c r="T9" s="5">
        <v>2</v>
      </c>
      <c r="U9" s="5" t="s">
        <v>22</v>
      </c>
      <c r="V9" s="25">
        <v>1.73</v>
      </c>
      <c r="W9" s="25">
        <f>AVERAGE(B9,D9,F9,H9,J9,L9,N9,P9,R9,T9)</f>
        <v>6</v>
      </c>
      <c r="X9" s="25">
        <f>V9+W9/V9</f>
        <v>5.1982080924855492</v>
      </c>
    </row>
    <row r="10" spans="1:24" ht="17" x14ac:dyDescent="0.2">
      <c r="A10" s="68" t="s">
        <v>34</v>
      </c>
      <c r="B10" s="5">
        <v>2</v>
      </c>
      <c r="C10" s="5" t="s">
        <v>22</v>
      </c>
      <c r="D10" s="5">
        <v>5</v>
      </c>
      <c r="E10" s="5" t="s">
        <v>32</v>
      </c>
      <c r="F10" s="5">
        <v>2</v>
      </c>
      <c r="G10" s="5" t="s">
        <v>22</v>
      </c>
      <c r="H10" s="5">
        <v>2</v>
      </c>
      <c r="I10" s="5" t="s">
        <v>22</v>
      </c>
      <c r="J10" s="4">
        <v>2</v>
      </c>
      <c r="K10" s="4" t="s">
        <v>22</v>
      </c>
      <c r="L10" s="4">
        <v>3</v>
      </c>
      <c r="M10" s="4" t="s">
        <v>22</v>
      </c>
      <c r="N10" s="5">
        <v>2</v>
      </c>
      <c r="O10" s="5" t="s">
        <v>22</v>
      </c>
      <c r="P10" s="5">
        <v>2</v>
      </c>
      <c r="Q10" s="5" t="s">
        <v>22</v>
      </c>
      <c r="R10" s="5">
        <v>3</v>
      </c>
      <c r="S10" s="5" t="s">
        <v>22</v>
      </c>
      <c r="T10" s="5">
        <v>1</v>
      </c>
      <c r="U10" s="5" t="s">
        <v>22</v>
      </c>
      <c r="V10" s="25">
        <v>2.16</v>
      </c>
      <c r="W10" s="25">
        <f>AVERAGE(B10,D10,F10,H10,J10,L10,N10,P10,R10,T10)</f>
        <v>2.4</v>
      </c>
      <c r="X10" s="25">
        <f>V10+W10/V10</f>
        <v>3.2711111111111109</v>
      </c>
    </row>
    <row r="11" spans="1:24" ht="17" x14ac:dyDescent="0.2">
      <c r="A11" s="68" t="s">
        <v>36</v>
      </c>
      <c r="B11" s="5">
        <v>9</v>
      </c>
      <c r="C11" s="5" t="s">
        <v>22</v>
      </c>
      <c r="D11" s="5">
        <v>13</v>
      </c>
      <c r="E11" s="5" t="s">
        <v>21</v>
      </c>
      <c r="F11" s="5">
        <v>3</v>
      </c>
      <c r="G11" s="5" t="s">
        <v>22</v>
      </c>
      <c r="H11" s="5">
        <v>2</v>
      </c>
      <c r="I11" s="5" t="s">
        <v>22</v>
      </c>
      <c r="J11" s="4">
        <v>1</v>
      </c>
      <c r="K11" s="4" t="s">
        <v>22</v>
      </c>
      <c r="L11" s="4">
        <v>1</v>
      </c>
      <c r="M11" s="4" t="s">
        <v>22</v>
      </c>
      <c r="N11" s="5">
        <v>17</v>
      </c>
      <c r="O11" s="5" t="s">
        <v>21</v>
      </c>
      <c r="P11" s="5">
        <v>16</v>
      </c>
      <c r="Q11" s="5" t="s">
        <v>21</v>
      </c>
      <c r="R11" s="5" t="s">
        <v>23</v>
      </c>
      <c r="S11" s="5" t="s">
        <v>32</v>
      </c>
      <c r="T11" s="5">
        <v>2</v>
      </c>
      <c r="U11" s="5" t="s">
        <v>22</v>
      </c>
      <c r="V11" s="25">
        <v>0.8</v>
      </c>
      <c r="W11" s="25">
        <f>AVERAGE(B11,D11,F11,H11,J11,L11,N11,P11,R11,T11)</f>
        <v>7.1111111111111107</v>
      </c>
      <c r="X11" s="25">
        <f>V11+W11/V11</f>
        <v>9.6888888888888882</v>
      </c>
    </row>
    <row r="12" spans="1:24" x14ac:dyDescent="0.2">
      <c r="A12" s="69"/>
      <c r="B12" s="1"/>
      <c r="C12" s="1"/>
      <c r="D12" s="1"/>
      <c r="E12" s="1"/>
      <c r="F12" s="1"/>
      <c r="G12" s="1"/>
      <c r="H12" s="1"/>
      <c r="I12" s="1"/>
      <c r="J12" s="7"/>
      <c r="K12" s="7"/>
      <c r="L12" s="7"/>
      <c r="M12" s="7"/>
      <c r="N12" s="1"/>
      <c r="O12" s="1"/>
      <c r="P12" s="1"/>
      <c r="Q12" s="1"/>
      <c r="R12" s="1"/>
      <c r="S12" s="1"/>
      <c r="T12" s="1"/>
      <c r="U12" s="1"/>
      <c r="V12" s="25"/>
      <c r="W12" s="25"/>
      <c r="X12" s="25"/>
    </row>
    <row r="13" spans="1:24" ht="51" x14ac:dyDescent="0.2">
      <c r="A13" s="67" t="s">
        <v>80</v>
      </c>
      <c r="B13" s="10" t="s">
        <v>1</v>
      </c>
      <c r="C13" s="10" t="s">
        <v>68</v>
      </c>
      <c r="D13" s="10" t="s">
        <v>69</v>
      </c>
      <c r="E13" s="10" t="s">
        <v>4</v>
      </c>
      <c r="F13" s="10" t="s">
        <v>70</v>
      </c>
      <c r="G13" s="10" t="s">
        <v>4</v>
      </c>
      <c r="H13" s="10" t="s">
        <v>71</v>
      </c>
      <c r="I13" s="10" t="s">
        <v>4</v>
      </c>
      <c r="J13" s="11" t="s">
        <v>7</v>
      </c>
      <c r="K13" s="11" t="s">
        <v>4</v>
      </c>
      <c r="L13" s="11" t="s">
        <v>72</v>
      </c>
      <c r="M13" s="11" t="s">
        <v>4</v>
      </c>
      <c r="N13" s="10" t="s">
        <v>73</v>
      </c>
      <c r="O13" s="10" t="s">
        <v>4</v>
      </c>
      <c r="P13" s="10" t="s">
        <v>74</v>
      </c>
      <c r="Q13" s="10" t="s">
        <v>4</v>
      </c>
      <c r="R13" s="10" t="s">
        <v>75</v>
      </c>
      <c r="S13" s="10" t="s">
        <v>4</v>
      </c>
      <c r="T13" s="10" t="s">
        <v>76</v>
      </c>
      <c r="U13" s="10" t="s">
        <v>4</v>
      </c>
      <c r="V13" s="65" t="s">
        <v>77</v>
      </c>
      <c r="W13" s="65" t="s">
        <v>78</v>
      </c>
      <c r="X13" s="65" t="s">
        <v>79</v>
      </c>
    </row>
    <row r="14" spans="1:24" ht="17" x14ac:dyDescent="0.2">
      <c r="A14" s="68" t="s">
        <v>38</v>
      </c>
      <c r="B14" s="5">
        <v>2</v>
      </c>
      <c r="C14" s="5" t="s">
        <v>22</v>
      </c>
      <c r="D14" s="5">
        <v>3</v>
      </c>
      <c r="E14" s="5" t="s">
        <v>22</v>
      </c>
      <c r="F14" s="5">
        <v>3</v>
      </c>
      <c r="G14" s="5" t="s">
        <v>22</v>
      </c>
      <c r="H14" s="5">
        <v>5</v>
      </c>
      <c r="I14" s="5" t="s">
        <v>21</v>
      </c>
      <c r="J14" s="4">
        <v>2</v>
      </c>
      <c r="K14" s="4" t="s">
        <v>22</v>
      </c>
      <c r="L14" s="4">
        <v>1</v>
      </c>
      <c r="M14" s="4" t="s">
        <v>22</v>
      </c>
      <c r="N14" s="5">
        <v>2</v>
      </c>
      <c r="O14" s="5" t="s">
        <v>22</v>
      </c>
      <c r="P14" s="5">
        <v>7</v>
      </c>
      <c r="Q14" s="5" t="s">
        <v>21</v>
      </c>
      <c r="R14" s="5">
        <v>3</v>
      </c>
      <c r="S14" s="5" t="s">
        <v>22</v>
      </c>
      <c r="T14" s="5">
        <v>2</v>
      </c>
      <c r="U14" s="5" t="s">
        <v>22</v>
      </c>
      <c r="V14" s="25">
        <v>2.86</v>
      </c>
      <c r="W14" s="25">
        <f>AVERAGE(B14,D14,F14,H14,J14,L14,N14,P14,R14,T14)</f>
        <v>3</v>
      </c>
      <c r="X14" s="25">
        <f>V14+W14/V14</f>
        <v>3.9089510489510486</v>
      </c>
    </row>
    <row r="15" spans="1:24" ht="17" x14ac:dyDescent="0.2">
      <c r="A15" s="68" t="s">
        <v>39</v>
      </c>
      <c r="B15" s="5">
        <v>3</v>
      </c>
      <c r="C15" s="5" t="s">
        <v>22</v>
      </c>
      <c r="D15" s="5">
        <v>2</v>
      </c>
      <c r="E15" s="5" t="s">
        <v>22</v>
      </c>
      <c r="F15" s="5">
        <v>4</v>
      </c>
      <c r="G15" s="5" t="s">
        <v>21</v>
      </c>
      <c r="H15" s="5">
        <v>3</v>
      </c>
      <c r="I15" s="40" t="s">
        <v>22</v>
      </c>
      <c r="J15" s="4">
        <v>4</v>
      </c>
      <c r="K15" s="5" t="s">
        <v>21</v>
      </c>
      <c r="L15" s="4">
        <v>4</v>
      </c>
      <c r="M15" s="5" t="s">
        <v>21</v>
      </c>
      <c r="N15" s="5">
        <v>3</v>
      </c>
      <c r="O15" s="5" t="s">
        <v>22</v>
      </c>
      <c r="P15" s="5">
        <v>2</v>
      </c>
      <c r="Q15" s="5" t="s">
        <v>22</v>
      </c>
      <c r="R15" s="5">
        <v>4</v>
      </c>
      <c r="S15" s="5" t="s">
        <v>21</v>
      </c>
      <c r="T15" s="5">
        <v>3</v>
      </c>
      <c r="U15" s="40" t="s">
        <v>22</v>
      </c>
      <c r="V15" s="25">
        <v>2.65</v>
      </c>
      <c r="W15" s="25">
        <f>AVERAGE(B15,D15,F15,H15,J15,L15,N15,P15,R15,T15)</f>
        <v>3.2</v>
      </c>
      <c r="X15" s="25">
        <f>V15+W15/V15</f>
        <v>3.8575471698113208</v>
      </c>
    </row>
    <row r="16" spans="1:24" ht="17" x14ac:dyDescent="0.2">
      <c r="A16" s="68" t="s">
        <v>40</v>
      </c>
      <c r="B16" s="5">
        <v>17</v>
      </c>
      <c r="C16" s="5" t="s">
        <v>21</v>
      </c>
      <c r="D16" s="5">
        <v>21</v>
      </c>
      <c r="E16" s="5" t="s">
        <v>21</v>
      </c>
      <c r="F16" s="5">
        <v>6</v>
      </c>
      <c r="G16" s="41" t="s">
        <v>22</v>
      </c>
      <c r="H16" s="5" t="s">
        <v>27</v>
      </c>
      <c r="I16" s="5" t="s">
        <v>21</v>
      </c>
      <c r="J16" s="4">
        <v>6</v>
      </c>
      <c r="K16" s="4" t="s">
        <v>21</v>
      </c>
      <c r="L16" s="4">
        <v>2</v>
      </c>
      <c r="M16" s="4" t="s">
        <v>22</v>
      </c>
      <c r="N16" s="5">
        <v>21</v>
      </c>
      <c r="O16" s="5" t="s">
        <v>21</v>
      </c>
      <c r="P16" s="5">
        <v>19</v>
      </c>
      <c r="Q16" s="5" t="s">
        <v>21</v>
      </c>
      <c r="R16" s="5" t="s">
        <v>27</v>
      </c>
      <c r="S16" s="40" t="s">
        <v>21</v>
      </c>
      <c r="T16" s="5" t="s">
        <v>27</v>
      </c>
      <c r="U16" s="5" t="s">
        <v>21</v>
      </c>
      <c r="V16" s="25">
        <v>11</v>
      </c>
      <c r="W16" s="25">
        <f>AVERAGE(B16,D16,F16,H16,J16,L16,N16,P16,R16,T16)</f>
        <v>13.142857142857142</v>
      </c>
      <c r="X16" s="25">
        <f>V16+W16/V16</f>
        <v>12.194805194805195</v>
      </c>
    </row>
    <row r="17" spans="1:24" ht="17" x14ac:dyDescent="0.2">
      <c r="A17" s="68" t="s">
        <v>41</v>
      </c>
      <c r="B17" s="5" t="s">
        <v>26</v>
      </c>
      <c r="C17" s="5" t="s">
        <v>21</v>
      </c>
      <c r="D17" s="5" t="s">
        <v>26</v>
      </c>
      <c r="E17" s="5" t="s">
        <v>21</v>
      </c>
      <c r="F17" s="5" t="s">
        <v>27</v>
      </c>
      <c r="G17" s="5" t="s">
        <v>21</v>
      </c>
      <c r="H17" s="5" t="s">
        <v>42</v>
      </c>
      <c r="I17" s="5" t="s">
        <v>21</v>
      </c>
      <c r="J17" s="4" t="s">
        <v>26</v>
      </c>
      <c r="K17" s="4" t="s">
        <v>21</v>
      </c>
      <c r="L17" s="4" t="s">
        <v>26</v>
      </c>
      <c r="M17" s="4" t="s">
        <v>21</v>
      </c>
      <c r="N17" s="5" t="s">
        <v>26</v>
      </c>
      <c r="O17" s="5" t="s">
        <v>21</v>
      </c>
      <c r="P17" s="5" t="s">
        <v>26</v>
      </c>
      <c r="Q17" s="5" t="s">
        <v>21</v>
      </c>
      <c r="R17" s="5" t="s">
        <v>27</v>
      </c>
      <c r="S17" s="5" t="s">
        <v>21</v>
      </c>
      <c r="T17" s="5" t="s">
        <v>42</v>
      </c>
      <c r="U17" s="5" t="s">
        <v>21</v>
      </c>
      <c r="V17" s="25" t="s">
        <v>26</v>
      </c>
      <c r="W17" s="25" t="s">
        <v>26</v>
      </c>
      <c r="X17" s="25" t="s">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ED268-9055-40B8-8F31-11B3D13FCDCB}">
  <dimension ref="A1:E17"/>
  <sheetViews>
    <sheetView workbookViewId="0"/>
  </sheetViews>
  <sheetFormatPr baseColWidth="10" defaultColWidth="8.83203125" defaultRowHeight="16" x14ac:dyDescent="0.2"/>
  <cols>
    <col min="1" max="1" width="57.33203125" customWidth="1"/>
    <col min="2" max="5" width="8.83203125" bestFit="1" customWidth="1"/>
  </cols>
  <sheetData>
    <row r="1" spans="1:5" ht="34" x14ac:dyDescent="0.2">
      <c r="A1" s="9" t="s">
        <v>0</v>
      </c>
      <c r="B1" s="10" t="s">
        <v>9</v>
      </c>
      <c r="C1" s="10" t="s">
        <v>4</v>
      </c>
      <c r="D1" s="10" t="s">
        <v>10</v>
      </c>
      <c r="E1" s="10" t="s">
        <v>4</v>
      </c>
    </row>
    <row r="2" spans="1:5" ht="17" x14ac:dyDescent="0.2">
      <c r="A2" s="4" t="s">
        <v>20</v>
      </c>
      <c r="B2" s="5">
        <v>4</v>
      </c>
      <c r="C2" s="5" t="s">
        <v>22</v>
      </c>
      <c r="D2" s="5">
        <v>10</v>
      </c>
      <c r="E2" s="5" t="s">
        <v>21</v>
      </c>
    </row>
    <row r="3" spans="1:5" ht="17" x14ac:dyDescent="0.2">
      <c r="A3" s="4" t="s">
        <v>24</v>
      </c>
      <c r="B3" s="5">
        <v>12</v>
      </c>
      <c r="C3" s="5" t="s">
        <v>21</v>
      </c>
      <c r="D3" s="5">
        <v>25</v>
      </c>
      <c r="E3" s="5" t="s">
        <v>21</v>
      </c>
    </row>
    <row r="4" spans="1:5" ht="34" x14ac:dyDescent="0.2">
      <c r="A4" s="4" t="s">
        <v>25</v>
      </c>
      <c r="B4" s="5">
        <v>12</v>
      </c>
      <c r="C4" s="5" t="s">
        <v>21</v>
      </c>
      <c r="D4" s="5">
        <v>34</v>
      </c>
      <c r="E4" s="5" t="s">
        <v>21</v>
      </c>
    </row>
    <row r="5" spans="1:5" ht="34" x14ac:dyDescent="0.2">
      <c r="A5" s="4" t="s">
        <v>28</v>
      </c>
      <c r="B5" s="5">
        <v>33</v>
      </c>
      <c r="C5" s="5" t="s">
        <v>21</v>
      </c>
      <c r="D5" s="5">
        <v>66</v>
      </c>
      <c r="E5" s="5" t="s">
        <v>21</v>
      </c>
    </row>
    <row r="6" spans="1:5" x14ac:dyDescent="0.2">
      <c r="A6" s="1"/>
      <c r="B6" s="1"/>
      <c r="C6" s="1"/>
      <c r="D6" s="1"/>
      <c r="E6" s="1"/>
    </row>
    <row r="7" spans="1:5" ht="34" x14ac:dyDescent="0.2">
      <c r="A7" s="9" t="s">
        <v>29</v>
      </c>
      <c r="B7" s="10" t="s">
        <v>9</v>
      </c>
      <c r="C7" s="10" t="s">
        <v>4</v>
      </c>
      <c r="D7" s="10" t="s">
        <v>10</v>
      </c>
      <c r="E7" s="10" t="s">
        <v>4</v>
      </c>
    </row>
    <row r="8" spans="1:5" ht="17" x14ac:dyDescent="0.2">
      <c r="A8" s="4" t="s">
        <v>31</v>
      </c>
      <c r="B8" s="5">
        <v>5</v>
      </c>
      <c r="C8" s="5" t="s">
        <v>22</v>
      </c>
      <c r="D8" s="5">
        <v>12</v>
      </c>
      <c r="E8" s="5" t="s">
        <v>21</v>
      </c>
    </row>
    <row r="9" spans="1:5" ht="34" x14ac:dyDescent="0.2">
      <c r="A9" s="4" t="s">
        <v>33</v>
      </c>
      <c r="B9" s="5">
        <v>12</v>
      </c>
      <c r="C9" s="5" t="s">
        <v>21</v>
      </c>
      <c r="D9" s="5">
        <v>6</v>
      </c>
      <c r="E9" s="5" t="s">
        <v>32</v>
      </c>
    </row>
    <row r="10" spans="1:5" ht="17" x14ac:dyDescent="0.2">
      <c r="A10" s="4" t="s">
        <v>34</v>
      </c>
      <c r="B10" s="5">
        <v>2</v>
      </c>
      <c r="C10" s="5" t="s">
        <v>22</v>
      </c>
      <c r="D10" s="5">
        <v>2</v>
      </c>
      <c r="E10" s="5" t="s">
        <v>22</v>
      </c>
    </row>
    <row r="11" spans="1:5" ht="17" x14ac:dyDescent="0.2">
      <c r="A11" s="4" t="s">
        <v>36</v>
      </c>
      <c r="B11" s="5">
        <v>17</v>
      </c>
      <c r="C11" s="5" t="s">
        <v>21</v>
      </c>
      <c r="D11" s="5">
        <v>16</v>
      </c>
      <c r="E11" s="5" t="s">
        <v>21</v>
      </c>
    </row>
    <row r="12" spans="1:5" x14ac:dyDescent="0.2">
      <c r="A12" s="1"/>
      <c r="B12" s="1"/>
      <c r="C12" s="1"/>
      <c r="D12" s="1"/>
      <c r="E12" s="1"/>
    </row>
    <row r="13" spans="1:5" ht="34" x14ac:dyDescent="0.2">
      <c r="A13" s="10" t="s">
        <v>37</v>
      </c>
      <c r="B13" s="10" t="s">
        <v>9</v>
      </c>
      <c r="C13" s="10" t="s">
        <v>4</v>
      </c>
      <c r="D13" s="10" t="s">
        <v>10</v>
      </c>
      <c r="E13" s="10" t="s">
        <v>4</v>
      </c>
    </row>
    <row r="14" spans="1:5" ht="17" x14ac:dyDescent="0.2">
      <c r="A14" s="4" t="s">
        <v>38</v>
      </c>
      <c r="B14" s="5">
        <v>2</v>
      </c>
      <c r="C14" s="5" t="s">
        <v>22</v>
      </c>
      <c r="D14" s="5">
        <v>7</v>
      </c>
      <c r="E14" s="5" t="s">
        <v>21</v>
      </c>
    </row>
    <row r="15" spans="1:5" ht="17" x14ac:dyDescent="0.2">
      <c r="A15" s="4" t="s">
        <v>39</v>
      </c>
      <c r="B15" s="5">
        <v>3</v>
      </c>
      <c r="C15" s="5" t="s">
        <v>22</v>
      </c>
      <c r="D15" s="5">
        <v>2</v>
      </c>
      <c r="E15" s="5" t="s">
        <v>22</v>
      </c>
    </row>
    <row r="16" spans="1:5" ht="17" x14ac:dyDescent="0.2">
      <c r="A16" s="4" t="s">
        <v>40</v>
      </c>
      <c r="B16" s="5">
        <v>21</v>
      </c>
      <c r="C16" s="5" t="s">
        <v>21</v>
      </c>
      <c r="D16" s="5">
        <v>19</v>
      </c>
      <c r="E16" s="5" t="s">
        <v>21</v>
      </c>
    </row>
    <row r="17" spans="1:5" ht="17" x14ac:dyDescent="0.2">
      <c r="A17" s="4" t="s">
        <v>41</v>
      </c>
      <c r="B17" s="5" t="s">
        <v>26</v>
      </c>
      <c r="C17" s="5" t="s">
        <v>21</v>
      </c>
      <c r="D17" s="5" t="s">
        <v>26</v>
      </c>
      <c r="E17" s="5" t="s">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9A9C-3D41-42A3-9C34-BE18B2B3B605}">
  <dimension ref="A1:E17"/>
  <sheetViews>
    <sheetView workbookViewId="0">
      <selection activeCell="D22" sqref="A1:E22"/>
    </sheetView>
  </sheetViews>
  <sheetFormatPr baseColWidth="10" defaultColWidth="11" defaultRowHeight="16" x14ac:dyDescent="0.2"/>
  <cols>
    <col min="1" max="1" width="50.33203125" customWidth="1"/>
    <col min="2" max="2" width="21.1640625" customWidth="1"/>
  </cols>
  <sheetData>
    <row r="1" spans="1:5" ht="34" x14ac:dyDescent="0.2">
      <c r="A1" s="9" t="s">
        <v>0</v>
      </c>
      <c r="B1" s="16" t="s">
        <v>81</v>
      </c>
      <c r="C1" s="13" t="s">
        <v>82</v>
      </c>
      <c r="D1" s="13" t="s">
        <v>15</v>
      </c>
      <c r="E1" s="13" t="s">
        <v>16</v>
      </c>
    </row>
    <row r="2" spans="1:5" ht="17" x14ac:dyDescent="0.2">
      <c r="A2" s="4" t="s">
        <v>20</v>
      </c>
      <c r="B2" s="15">
        <v>7</v>
      </c>
      <c r="C2" s="14">
        <v>0.66669999999999996</v>
      </c>
      <c r="D2" s="14">
        <v>0.39229999999999998</v>
      </c>
      <c r="E2" s="14">
        <v>0.89670000000000005</v>
      </c>
    </row>
    <row r="3" spans="1:5" ht="17" x14ac:dyDescent="0.2">
      <c r="A3" s="4" t="s">
        <v>24</v>
      </c>
      <c r="B3" s="15">
        <v>5</v>
      </c>
      <c r="C3" s="14">
        <v>0.5</v>
      </c>
      <c r="D3" s="14">
        <v>0.2366</v>
      </c>
      <c r="E3" s="14">
        <v>0.76339999999999997</v>
      </c>
    </row>
    <row r="4" spans="1:5" ht="34" x14ac:dyDescent="0.2">
      <c r="A4" s="20" t="s">
        <v>25</v>
      </c>
      <c r="B4" s="21">
        <v>4</v>
      </c>
      <c r="C4" s="22">
        <v>0.41670000000000001</v>
      </c>
      <c r="D4" s="22">
        <v>0.1671</v>
      </c>
      <c r="E4" s="22">
        <v>0.68840000000000001</v>
      </c>
    </row>
    <row r="5" spans="1:5" ht="34" x14ac:dyDescent="0.2">
      <c r="A5" s="23" t="s">
        <v>28</v>
      </c>
      <c r="B5" s="24">
        <v>2</v>
      </c>
      <c r="C5" s="25">
        <v>0.25</v>
      </c>
      <c r="D5" s="25">
        <v>4.5900000000000003E-2</v>
      </c>
      <c r="E5" s="25">
        <v>0.52059999999999995</v>
      </c>
    </row>
    <row r="6" spans="1:5" x14ac:dyDescent="0.2">
      <c r="A6" s="1"/>
      <c r="B6" s="1"/>
      <c r="C6" s="14"/>
      <c r="D6" s="14"/>
      <c r="E6" s="14"/>
    </row>
    <row r="7" spans="1:5" ht="17" x14ac:dyDescent="0.2">
      <c r="A7" s="9" t="s">
        <v>29</v>
      </c>
      <c r="B7" s="16" t="s">
        <v>13</v>
      </c>
      <c r="C7" s="13" t="s">
        <v>82</v>
      </c>
      <c r="D7" s="13" t="s">
        <v>15</v>
      </c>
      <c r="E7" s="13" t="s">
        <v>16</v>
      </c>
    </row>
    <row r="8" spans="1:5" ht="34" x14ac:dyDescent="0.2">
      <c r="A8" s="4" t="s">
        <v>31</v>
      </c>
      <c r="B8" s="15">
        <v>7</v>
      </c>
      <c r="C8" s="14">
        <v>0.66669999999999996</v>
      </c>
      <c r="D8" s="14">
        <v>0.39229999999999998</v>
      </c>
      <c r="E8" s="14">
        <v>0.89670000000000005</v>
      </c>
    </row>
    <row r="9" spans="1:5" ht="34" x14ac:dyDescent="0.2">
      <c r="A9" s="4" t="s">
        <v>33</v>
      </c>
      <c r="B9" s="15">
        <v>8</v>
      </c>
      <c r="C9" s="14">
        <v>0.75</v>
      </c>
      <c r="D9" s="14">
        <v>0.47939999999999999</v>
      </c>
      <c r="E9" s="14">
        <v>0.95409999999999995</v>
      </c>
    </row>
    <row r="10" spans="1:5" ht="17" x14ac:dyDescent="0.2">
      <c r="A10" s="4" t="s">
        <v>34</v>
      </c>
      <c r="B10" s="15">
        <v>10</v>
      </c>
      <c r="C10" s="14">
        <v>0.91669999999999996</v>
      </c>
      <c r="D10" s="14">
        <v>0.75119999999999998</v>
      </c>
      <c r="E10" s="14">
        <v>1</v>
      </c>
    </row>
    <row r="11" spans="1:5" ht="17" x14ac:dyDescent="0.2">
      <c r="A11" s="4" t="s">
        <v>36</v>
      </c>
      <c r="B11" s="15">
        <v>6</v>
      </c>
      <c r="C11" s="14">
        <v>0.58330000000000004</v>
      </c>
      <c r="D11" s="14">
        <v>0.31159999999999999</v>
      </c>
      <c r="E11" s="14">
        <v>0.83289999999999997</v>
      </c>
    </row>
    <row r="12" spans="1:5" x14ac:dyDescent="0.2">
      <c r="A12" s="1"/>
      <c r="B12" s="1"/>
      <c r="C12" s="14"/>
      <c r="D12" s="14"/>
      <c r="E12" s="14"/>
    </row>
    <row r="13" spans="1:5" ht="17" x14ac:dyDescent="0.2">
      <c r="A13" s="10" t="s">
        <v>37</v>
      </c>
      <c r="B13" s="16" t="s">
        <v>13</v>
      </c>
      <c r="C13" s="13" t="s">
        <v>82</v>
      </c>
      <c r="D13" s="13" t="s">
        <v>15</v>
      </c>
      <c r="E13" s="13" t="s">
        <v>16</v>
      </c>
    </row>
    <row r="14" spans="1:5" ht="17" x14ac:dyDescent="0.2">
      <c r="A14" s="4" t="s">
        <v>38</v>
      </c>
      <c r="B14" s="15">
        <v>10</v>
      </c>
      <c r="C14" s="14">
        <v>0.91669999999999996</v>
      </c>
      <c r="D14" s="14">
        <v>0.75119999999999998</v>
      </c>
      <c r="E14" s="14">
        <v>1</v>
      </c>
    </row>
    <row r="15" spans="1:5" ht="17" x14ac:dyDescent="0.2">
      <c r="A15" s="4" t="s">
        <v>39</v>
      </c>
      <c r="B15" s="8">
        <v>10</v>
      </c>
      <c r="C15" s="14">
        <v>0.91669999999999996</v>
      </c>
      <c r="D15" s="14">
        <v>0.75119999999999998</v>
      </c>
      <c r="E15" s="14">
        <v>1</v>
      </c>
    </row>
    <row r="16" spans="1:5" ht="17" x14ac:dyDescent="0.2">
      <c r="A16" s="20" t="s">
        <v>40</v>
      </c>
      <c r="B16" s="21">
        <v>4</v>
      </c>
      <c r="C16" s="22">
        <v>0.41670000000000001</v>
      </c>
      <c r="D16" s="22">
        <v>0.1671</v>
      </c>
      <c r="E16" s="22">
        <v>0.68840000000000001</v>
      </c>
    </row>
    <row r="17" spans="1:5" ht="17" x14ac:dyDescent="0.2">
      <c r="A17" s="17" t="s">
        <v>41</v>
      </c>
      <c r="B17" s="18">
        <v>0</v>
      </c>
      <c r="C17" s="19">
        <v>8.3299999999999999E-2</v>
      </c>
      <c r="D17" s="19">
        <v>0</v>
      </c>
      <c r="E17" s="19">
        <v>0.24879999999999999</v>
      </c>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D6B6B-53AB-3243-B1EE-994D63A552AE}">
  <dimension ref="A1:F18"/>
  <sheetViews>
    <sheetView topLeftCell="A2" zoomScale="84" workbookViewId="0">
      <selection activeCell="A2" sqref="A2"/>
    </sheetView>
  </sheetViews>
  <sheetFormatPr baseColWidth="10" defaultColWidth="10.83203125" defaultRowHeight="16" x14ac:dyDescent="0.2"/>
  <cols>
    <col min="1" max="1" width="24" style="1" customWidth="1"/>
    <col min="2" max="2" width="12.1640625" style="28" customWidth="1"/>
    <col min="3" max="3" width="14.1640625" style="1" customWidth="1"/>
    <col min="4" max="4" width="12" style="1" customWidth="1"/>
    <col min="5" max="5" width="14.33203125" style="1" customWidth="1"/>
    <col min="6" max="6" width="22.5" style="1" customWidth="1"/>
    <col min="7" max="16384" width="10.83203125" style="1"/>
  </cols>
  <sheetData>
    <row r="1" spans="1:6" ht="51" x14ac:dyDescent="0.2">
      <c r="A1" s="2" t="s">
        <v>0</v>
      </c>
      <c r="B1" s="26" t="s">
        <v>83</v>
      </c>
      <c r="C1" s="3" t="s">
        <v>4</v>
      </c>
      <c r="D1" s="3" t="s">
        <v>84</v>
      </c>
      <c r="E1" s="3" t="s">
        <v>4</v>
      </c>
      <c r="F1" s="3" t="s">
        <v>85</v>
      </c>
    </row>
    <row r="2" spans="1:6" ht="119" x14ac:dyDescent="0.2">
      <c r="A2" s="4" t="s">
        <v>20</v>
      </c>
      <c r="B2" s="27">
        <v>10</v>
      </c>
      <c r="C2" s="5" t="s">
        <v>22</v>
      </c>
      <c r="D2" s="5">
        <v>12</v>
      </c>
      <c r="E2" s="5" t="s">
        <v>22</v>
      </c>
      <c r="F2" s="5" t="s">
        <v>86</v>
      </c>
    </row>
    <row r="3" spans="1:6" ht="34" x14ac:dyDescent="0.2">
      <c r="A3" s="4" t="s">
        <v>24</v>
      </c>
      <c r="B3" s="27">
        <v>7</v>
      </c>
      <c r="C3" s="5" t="s">
        <v>22</v>
      </c>
      <c r="D3" s="5">
        <v>9</v>
      </c>
      <c r="E3" s="5" t="s">
        <v>22</v>
      </c>
      <c r="F3" s="5"/>
    </row>
    <row r="4" spans="1:6" ht="102" x14ac:dyDescent="0.2">
      <c r="A4" s="4" t="s">
        <v>25</v>
      </c>
      <c r="B4" s="27">
        <v>9</v>
      </c>
      <c r="C4" s="5" t="s">
        <v>22</v>
      </c>
      <c r="D4" s="5" t="s">
        <v>26</v>
      </c>
      <c r="E4" s="5" t="s">
        <v>21</v>
      </c>
      <c r="F4" s="5" t="s">
        <v>87</v>
      </c>
    </row>
    <row r="5" spans="1:6" ht="136" x14ac:dyDescent="0.2">
      <c r="A5" s="4" t="s">
        <v>28</v>
      </c>
      <c r="B5" s="27">
        <v>45</v>
      </c>
      <c r="C5" s="5" t="s">
        <v>21</v>
      </c>
      <c r="D5" s="5">
        <v>85</v>
      </c>
      <c r="E5" s="5" t="s">
        <v>21</v>
      </c>
      <c r="F5" s="5" t="s">
        <v>88</v>
      </c>
    </row>
    <row r="7" spans="1:6" ht="34" x14ac:dyDescent="0.2">
      <c r="A7" s="2" t="s">
        <v>29</v>
      </c>
      <c r="B7" s="26" t="s">
        <v>30</v>
      </c>
      <c r="C7" s="3" t="s">
        <v>4</v>
      </c>
      <c r="D7" s="3" t="s">
        <v>3</v>
      </c>
      <c r="E7" s="3" t="s">
        <v>4</v>
      </c>
      <c r="F7" s="3" t="s">
        <v>85</v>
      </c>
    </row>
    <row r="8" spans="1:6" ht="153" x14ac:dyDescent="0.2">
      <c r="A8" s="4" t="s">
        <v>31</v>
      </c>
      <c r="B8" s="27">
        <v>4</v>
      </c>
      <c r="C8" s="5" t="s">
        <v>22</v>
      </c>
      <c r="D8" s="5">
        <v>12</v>
      </c>
      <c r="E8" s="5" t="s">
        <v>21</v>
      </c>
      <c r="F8" s="5" t="s">
        <v>89</v>
      </c>
    </row>
    <row r="9" spans="1:6" ht="68" x14ac:dyDescent="0.2">
      <c r="A9" s="4" t="s">
        <v>33</v>
      </c>
      <c r="B9" s="27">
        <v>3</v>
      </c>
      <c r="C9" s="5" t="s">
        <v>22</v>
      </c>
      <c r="D9" s="5">
        <v>5</v>
      </c>
      <c r="E9" s="5" t="s">
        <v>22</v>
      </c>
      <c r="F9" s="5" t="s">
        <v>90</v>
      </c>
    </row>
    <row r="10" spans="1:6" ht="34" x14ac:dyDescent="0.2">
      <c r="A10" s="4" t="s">
        <v>34</v>
      </c>
      <c r="B10" s="27">
        <v>2</v>
      </c>
      <c r="C10" s="5" t="s">
        <v>22</v>
      </c>
      <c r="D10" s="5">
        <v>5</v>
      </c>
      <c r="E10" s="5" t="s">
        <v>22</v>
      </c>
      <c r="F10" s="5"/>
    </row>
    <row r="11" spans="1:6" ht="102" x14ac:dyDescent="0.2">
      <c r="A11" s="4" t="s">
        <v>36</v>
      </c>
      <c r="B11" s="27">
        <v>9</v>
      </c>
      <c r="C11" s="5" t="s">
        <v>22</v>
      </c>
      <c r="D11" s="5">
        <v>13</v>
      </c>
      <c r="E11" s="5" t="s">
        <v>21</v>
      </c>
      <c r="F11" s="5" t="s">
        <v>91</v>
      </c>
    </row>
    <row r="13" spans="1:6" ht="34" x14ac:dyDescent="0.2">
      <c r="A13" s="3" t="s">
        <v>37</v>
      </c>
      <c r="B13" s="26" t="s">
        <v>30</v>
      </c>
      <c r="C13" s="3" t="s">
        <v>4</v>
      </c>
      <c r="D13" s="3" t="s">
        <v>3</v>
      </c>
      <c r="E13" s="3" t="s">
        <v>4</v>
      </c>
      <c r="F13" s="3" t="s">
        <v>85</v>
      </c>
    </row>
    <row r="14" spans="1:6" ht="34" x14ac:dyDescent="0.2">
      <c r="A14" s="4" t="s">
        <v>38</v>
      </c>
      <c r="B14" s="27">
        <v>2</v>
      </c>
      <c r="C14" s="5" t="s">
        <v>22</v>
      </c>
      <c r="D14" s="5">
        <v>3</v>
      </c>
      <c r="E14" s="5" t="s">
        <v>22</v>
      </c>
      <c r="F14" s="5"/>
    </row>
    <row r="15" spans="1:6" ht="34" x14ac:dyDescent="0.2">
      <c r="A15" s="4" t="s">
        <v>39</v>
      </c>
      <c r="B15" s="27">
        <v>3</v>
      </c>
      <c r="C15" s="5" t="s">
        <v>22</v>
      </c>
      <c r="D15" s="5">
        <v>2</v>
      </c>
      <c r="E15" s="5" t="s">
        <v>22</v>
      </c>
      <c r="F15" s="5"/>
    </row>
    <row r="16" spans="1:6" ht="85" x14ac:dyDescent="0.2">
      <c r="A16" s="4" t="s">
        <v>40</v>
      </c>
      <c r="B16" s="27">
        <v>6</v>
      </c>
      <c r="C16" s="5" t="s">
        <v>21</v>
      </c>
      <c r="D16" s="5">
        <v>21</v>
      </c>
      <c r="E16" s="5" t="s">
        <v>21</v>
      </c>
      <c r="F16" s="1" t="s">
        <v>92</v>
      </c>
    </row>
    <row r="17" spans="1:6" ht="51" x14ac:dyDescent="0.2">
      <c r="A17" s="4" t="s">
        <v>41</v>
      </c>
      <c r="B17" s="27" t="s">
        <v>26</v>
      </c>
      <c r="C17" s="5" t="s">
        <v>21</v>
      </c>
      <c r="D17" s="5" t="s">
        <v>26</v>
      </c>
      <c r="E17" s="5" t="s">
        <v>21</v>
      </c>
      <c r="F17" s="5" t="s">
        <v>93</v>
      </c>
    </row>
    <row r="18" spans="1:6" ht="17" x14ac:dyDescent="0.2">
      <c r="A18" s="3" t="s">
        <v>94</v>
      </c>
      <c r="B18" s="27">
        <f>SUM(B2:B5,B8:B11,B14:B16)</f>
        <v>100</v>
      </c>
      <c r="C18" s="5"/>
      <c r="D18" s="5">
        <f>SUM(D2:D5,D8:D11,D14:D16)</f>
        <v>167</v>
      </c>
      <c r="E18" s="5"/>
      <c r="F18"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3E32-D006-1B49-AA55-760518AC469E}">
  <dimension ref="A1:F18"/>
  <sheetViews>
    <sheetView zoomScale="95" workbookViewId="0">
      <selection activeCell="J10" sqref="J10"/>
    </sheetView>
  </sheetViews>
  <sheetFormatPr baseColWidth="10" defaultColWidth="10.83203125" defaultRowHeight="16" x14ac:dyDescent="0.2"/>
  <cols>
    <col min="1" max="1" width="57.5" style="1" customWidth="1"/>
    <col min="2" max="2" width="15.33203125" style="1" customWidth="1"/>
    <col min="3" max="3" width="15" style="1" customWidth="1"/>
    <col min="4" max="4" width="15.33203125" style="1" customWidth="1"/>
    <col min="5" max="5" width="15" style="1" customWidth="1"/>
    <col min="6" max="6" width="21.83203125" style="1" customWidth="1"/>
    <col min="7" max="16384" width="10.83203125" style="1"/>
  </cols>
  <sheetData>
    <row r="1" spans="1:6" ht="17" x14ac:dyDescent="0.2">
      <c r="A1" s="2" t="s">
        <v>0</v>
      </c>
      <c r="B1" s="3" t="s">
        <v>30</v>
      </c>
      <c r="C1" s="3" t="s">
        <v>4</v>
      </c>
      <c r="D1" s="3" t="s">
        <v>3</v>
      </c>
      <c r="E1" s="3" t="s">
        <v>4</v>
      </c>
      <c r="F1" s="3" t="s">
        <v>85</v>
      </c>
    </row>
    <row r="2" spans="1:6" ht="34" x14ac:dyDescent="0.2">
      <c r="A2" s="4" t="s">
        <v>20</v>
      </c>
      <c r="B2" s="5">
        <v>12</v>
      </c>
      <c r="C2" s="5" t="s">
        <v>21</v>
      </c>
      <c r="D2" s="5">
        <v>20</v>
      </c>
      <c r="E2" s="5" t="s">
        <v>21</v>
      </c>
      <c r="F2" s="5" t="s">
        <v>95</v>
      </c>
    </row>
    <row r="3" spans="1:6" ht="51" x14ac:dyDescent="0.2">
      <c r="A3" s="4" t="s">
        <v>24</v>
      </c>
      <c r="B3" s="5">
        <v>20</v>
      </c>
      <c r="C3" s="5" t="s">
        <v>21</v>
      </c>
      <c r="D3" s="5">
        <v>15</v>
      </c>
      <c r="E3" s="5" t="s">
        <v>21</v>
      </c>
      <c r="F3" s="5" t="s">
        <v>96</v>
      </c>
    </row>
    <row r="4" spans="1:6" ht="68" x14ac:dyDescent="0.2">
      <c r="A4" s="4" t="s">
        <v>25</v>
      </c>
      <c r="B4" s="5">
        <v>8</v>
      </c>
      <c r="C4" s="5" t="s">
        <v>22</v>
      </c>
      <c r="D4" s="5" t="s">
        <v>27</v>
      </c>
      <c r="E4" s="5" t="s">
        <v>21</v>
      </c>
      <c r="F4" s="5" t="s">
        <v>97</v>
      </c>
    </row>
    <row r="5" spans="1:6" ht="85" x14ac:dyDescent="0.2">
      <c r="A5" s="4" t="s">
        <v>28</v>
      </c>
      <c r="B5" s="5">
        <v>5</v>
      </c>
      <c r="C5" s="5" t="s">
        <v>22</v>
      </c>
      <c r="D5" s="5" t="s">
        <v>27</v>
      </c>
      <c r="E5" s="5" t="s">
        <v>21</v>
      </c>
      <c r="F5" s="5" t="s">
        <v>98</v>
      </c>
    </row>
    <row r="7" spans="1:6" ht="17" x14ac:dyDescent="0.2">
      <c r="A7" s="2" t="s">
        <v>29</v>
      </c>
      <c r="B7" s="3" t="s">
        <v>30</v>
      </c>
      <c r="C7" s="3" t="s">
        <v>4</v>
      </c>
      <c r="D7" s="3" t="s">
        <v>3</v>
      </c>
      <c r="E7" s="3" t="s">
        <v>4</v>
      </c>
      <c r="F7" s="3" t="s">
        <v>85</v>
      </c>
    </row>
    <row r="8" spans="1:6" ht="17" x14ac:dyDescent="0.2">
      <c r="A8" s="4" t="s">
        <v>31</v>
      </c>
      <c r="B8" s="5">
        <v>8</v>
      </c>
      <c r="C8" s="5" t="s">
        <v>22</v>
      </c>
      <c r="D8" s="5">
        <v>8</v>
      </c>
      <c r="E8" s="5" t="s">
        <v>22</v>
      </c>
      <c r="F8" s="5"/>
    </row>
    <row r="9" spans="1:6" ht="34" x14ac:dyDescent="0.2">
      <c r="A9" s="4" t="s">
        <v>33</v>
      </c>
      <c r="B9" s="5">
        <v>4</v>
      </c>
      <c r="C9" s="5" t="s">
        <v>22</v>
      </c>
      <c r="D9" s="5">
        <v>6</v>
      </c>
      <c r="E9" s="5" t="s">
        <v>22</v>
      </c>
      <c r="F9" s="5"/>
    </row>
    <row r="10" spans="1:6" ht="17" x14ac:dyDescent="0.2">
      <c r="A10" s="4" t="s">
        <v>34</v>
      </c>
      <c r="B10" s="5">
        <v>2</v>
      </c>
      <c r="C10" s="5" t="s">
        <v>22</v>
      </c>
      <c r="D10" s="5">
        <v>2</v>
      </c>
      <c r="E10" s="5" t="s">
        <v>22</v>
      </c>
      <c r="F10" s="5"/>
    </row>
    <row r="11" spans="1:6" ht="153" x14ac:dyDescent="0.2">
      <c r="A11" s="4" t="s">
        <v>36</v>
      </c>
      <c r="B11" s="5">
        <v>3</v>
      </c>
      <c r="C11" s="5" t="s">
        <v>22</v>
      </c>
      <c r="D11" s="5">
        <v>2</v>
      </c>
      <c r="E11" s="5" t="s">
        <v>22</v>
      </c>
      <c r="F11" s="5" t="s">
        <v>99</v>
      </c>
    </row>
    <row r="13" spans="1:6" ht="17" x14ac:dyDescent="0.2">
      <c r="A13" s="3" t="s">
        <v>37</v>
      </c>
      <c r="B13" s="3" t="s">
        <v>30</v>
      </c>
      <c r="C13" s="3" t="s">
        <v>4</v>
      </c>
      <c r="D13" s="3" t="s">
        <v>3</v>
      </c>
      <c r="E13" s="3" t="s">
        <v>4</v>
      </c>
      <c r="F13" s="3" t="s">
        <v>85</v>
      </c>
    </row>
    <row r="14" spans="1:6" ht="17" x14ac:dyDescent="0.2">
      <c r="A14" s="4" t="s">
        <v>38</v>
      </c>
      <c r="B14" s="5">
        <v>3</v>
      </c>
      <c r="C14" s="5" t="s">
        <v>22</v>
      </c>
      <c r="D14" s="5">
        <v>5</v>
      </c>
      <c r="E14" s="5" t="s">
        <v>22</v>
      </c>
      <c r="F14" s="5"/>
    </row>
    <row r="15" spans="1:6" ht="17" x14ac:dyDescent="0.2">
      <c r="A15" s="4" t="s">
        <v>39</v>
      </c>
      <c r="B15" s="5">
        <v>4</v>
      </c>
      <c r="C15" s="5" t="s">
        <v>22</v>
      </c>
      <c r="D15" s="5">
        <v>3</v>
      </c>
      <c r="E15" s="8" t="s">
        <v>22</v>
      </c>
      <c r="F15" s="5"/>
    </row>
    <row r="16" spans="1:6" ht="17" x14ac:dyDescent="0.2">
      <c r="A16" s="4" t="s">
        <v>40</v>
      </c>
      <c r="B16" s="5">
        <v>6</v>
      </c>
      <c r="C16" s="8" t="s">
        <v>22</v>
      </c>
      <c r="D16" s="5" t="s">
        <v>27</v>
      </c>
      <c r="E16" s="5" t="s">
        <v>21</v>
      </c>
      <c r="F16" s="5"/>
    </row>
    <row r="17" spans="1:6" ht="51" x14ac:dyDescent="0.2">
      <c r="A17" s="4" t="s">
        <v>41</v>
      </c>
      <c r="B17" s="5" t="s">
        <v>27</v>
      </c>
      <c r="C17" s="5" t="s">
        <v>21</v>
      </c>
      <c r="D17" s="5" t="s">
        <v>42</v>
      </c>
      <c r="E17" s="5" t="s">
        <v>21</v>
      </c>
      <c r="F17" s="5" t="s">
        <v>100</v>
      </c>
    </row>
    <row r="18" spans="1:6" ht="17" x14ac:dyDescent="0.2">
      <c r="A18" s="3" t="s">
        <v>94</v>
      </c>
      <c r="B18" s="27">
        <f>SUM(B2:B5,B8:B11,B14:B16)</f>
        <v>75</v>
      </c>
      <c r="C18" s="5"/>
      <c r="D18" s="5">
        <f>SUM(D2:D5,D8:D11,D14:D16)</f>
        <v>61</v>
      </c>
      <c r="E18" s="5"/>
      <c r="F18"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50CA8-77D2-4A7B-9E31-9B878C568BCD}">
  <dimension ref="A1:F18"/>
  <sheetViews>
    <sheetView workbookViewId="0">
      <selection activeCell="F7" sqref="F7"/>
    </sheetView>
  </sheetViews>
  <sheetFormatPr baseColWidth="10" defaultColWidth="9" defaultRowHeight="16" x14ac:dyDescent="0.2"/>
  <cols>
    <col min="1" max="1" width="54.1640625" style="6" customWidth="1"/>
    <col min="2" max="2" width="18.1640625" style="6" customWidth="1"/>
    <col min="3" max="3" width="17.83203125" style="6" customWidth="1"/>
    <col min="4" max="4" width="18.1640625" style="6" customWidth="1"/>
    <col min="5" max="5" width="17.83203125" style="6" customWidth="1"/>
    <col min="6" max="6" width="54.1640625" style="6" customWidth="1"/>
    <col min="7" max="16384" width="9" style="6"/>
  </cols>
  <sheetData>
    <row r="1" spans="1:6" ht="24" customHeight="1" x14ac:dyDescent="0.2">
      <c r="A1" s="57" t="s">
        <v>0</v>
      </c>
      <c r="B1" s="11" t="s">
        <v>7</v>
      </c>
      <c r="C1" s="11" t="s">
        <v>4</v>
      </c>
      <c r="D1" s="11" t="s">
        <v>8</v>
      </c>
      <c r="E1" s="11" t="s">
        <v>4</v>
      </c>
      <c r="F1" s="10" t="s">
        <v>85</v>
      </c>
    </row>
    <row r="2" spans="1:6" ht="21.75" customHeight="1" x14ac:dyDescent="0.2">
      <c r="A2" s="4" t="s">
        <v>20</v>
      </c>
      <c r="B2" s="4">
        <v>11</v>
      </c>
      <c r="C2" s="4" t="s">
        <v>21</v>
      </c>
      <c r="D2" s="4">
        <v>12</v>
      </c>
      <c r="E2" s="4" t="s">
        <v>21</v>
      </c>
      <c r="F2" s="5" t="s">
        <v>101</v>
      </c>
    </row>
    <row r="3" spans="1:6" ht="51.75" customHeight="1" x14ac:dyDescent="0.2">
      <c r="A3" s="4" t="s">
        <v>24</v>
      </c>
      <c r="B3" s="4">
        <v>4</v>
      </c>
      <c r="C3" s="4" t="s">
        <v>22</v>
      </c>
      <c r="D3" s="4">
        <v>8</v>
      </c>
      <c r="E3" s="4" t="s">
        <v>22</v>
      </c>
      <c r="F3" s="5" t="s">
        <v>102</v>
      </c>
    </row>
    <row r="4" spans="1:6" ht="72" customHeight="1" x14ac:dyDescent="0.2">
      <c r="A4" s="4" t="s">
        <v>25</v>
      </c>
      <c r="B4" s="4">
        <v>17</v>
      </c>
      <c r="C4" s="4" t="s">
        <v>21</v>
      </c>
      <c r="D4" s="4">
        <v>20</v>
      </c>
      <c r="E4" s="4" t="s">
        <v>21</v>
      </c>
      <c r="F4" s="5" t="s">
        <v>103</v>
      </c>
    </row>
    <row r="5" spans="1:6" ht="35.25" customHeight="1" x14ac:dyDescent="0.2">
      <c r="A5" s="4" t="s">
        <v>28</v>
      </c>
      <c r="B5" s="4">
        <v>17</v>
      </c>
      <c r="C5" s="4" t="s">
        <v>21</v>
      </c>
      <c r="D5" s="4">
        <v>11</v>
      </c>
      <c r="E5" s="4" t="s">
        <v>22</v>
      </c>
      <c r="F5" s="5" t="s">
        <v>104</v>
      </c>
    </row>
    <row r="6" spans="1:6" x14ac:dyDescent="0.2">
      <c r="A6" s="7"/>
      <c r="B6" s="7"/>
      <c r="C6" s="7"/>
      <c r="D6" s="7"/>
      <c r="E6" s="7"/>
      <c r="F6" s="1"/>
    </row>
    <row r="7" spans="1:6" ht="22.5" customHeight="1" x14ac:dyDescent="0.2">
      <c r="A7" s="57" t="s">
        <v>29</v>
      </c>
      <c r="B7" s="11" t="s">
        <v>7</v>
      </c>
      <c r="C7" s="11" t="s">
        <v>4</v>
      </c>
      <c r="D7" s="11" t="s">
        <v>8</v>
      </c>
      <c r="E7" s="11" t="s">
        <v>4</v>
      </c>
      <c r="F7" s="10" t="s">
        <v>85</v>
      </c>
    </row>
    <row r="8" spans="1:6" ht="73.5" customHeight="1" x14ac:dyDescent="0.2">
      <c r="A8" s="4" t="s">
        <v>31</v>
      </c>
      <c r="B8" s="4">
        <v>16</v>
      </c>
      <c r="C8" s="4" t="s">
        <v>21</v>
      </c>
      <c r="D8" s="4">
        <v>14</v>
      </c>
      <c r="E8" s="4" t="s">
        <v>21</v>
      </c>
      <c r="F8" s="5" t="s">
        <v>105</v>
      </c>
    </row>
    <row r="9" spans="1:6" ht="35.25" customHeight="1" x14ac:dyDescent="0.2">
      <c r="A9" s="4" t="s">
        <v>33</v>
      </c>
      <c r="B9" s="4">
        <v>5</v>
      </c>
      <c r="C9" s="4" t="s">
        <v>22</v>
      </c>
      <c r="D9" s="4">
        <v>12</v>
      </c>
      <c r="E9" s="4" t="s">
        <v>21</v>
      </c>
      <c r="F9" s="5" t="s">
        <v>106</v>
      </c>
    </row>
    <row r="10" spans="1:6" ht="20.25" customHeight="1" x14ac:dyDescent="0.2">
      <c r="A10" s="4" t="s">
        <v>34</v>
      </c>
      <c r="B10" s="4">
        <v>2</v>
      </c>
      <c r="C10" s="4" t="s">
        <v>22</v>
      </c>
      <c r="D10" s="4">
        <v>3</v>
      </c>
      <c r="E10" s="4" t="s">
        <v>22</v>
      </c>
      <c r="F10" s="5" t="s">
        <v>107</v>
      </c>
    </row>
    <row r="11" spans="1:6" ht="20.25" customHeight="1" x14ac:dyDescent="0.2">
      <c r="A11" s="4" t="s">
        <v>36</v>
      </c>
      <c r="B11" s="4">
        <v>1</v>
      </c>
      <c r="C11" s="4" t="s">
        <v>22</v>
      </c>
      <c r="D11" s="4">
        <v>1</v>
      </c>
      <c r="E11" s="4" t="s">
        <v>22</v>
      </c>
      <c r="F11" s="5" t="s">
        <v>108</v>
      </c>
    </row>
    <row r="12" spans="1:6" x14ac:dyDescent="0.2">
      <c r="A12" s="7"/>
      <c r="B12" s="7"/>
      <c r="C12" s="7"/>
      <c r="D12" s="7"/>
      <c r="E12" s="7"/>
      <c r="F12" s="1"/>
    </row>
    <row r="13" spans="1:6" ht="18" customHeight="1" x14ac:dyDescent="0.2">
      <c r="A13" s="11" t="s">
        <v>37</v>
      </c>
      <c r="B13" s="11" t="s">
        <v>7</v>
      </c>
      <c r="C13" s="11" t="s">
        <v>4</v>
      </c>
      <c r="D13" s="11" t="s">
        <v>8</v>
      </c>
      <c r="E13" s="11" t="s">
        <v>4</v>
      </c>
      <c r="F13" s="10" t="s">
        <v>85</v>
      </c>
    </row>
    <row r="14" spans="1:6" ht="38.25" customHeight="1" x14ac:dyDescent="0.2">
      <c r="A14" s="4" t="s">
        <v>38</v>
      </c>
      <c r="B14" s="4">
        <v>2</v>
      </c>
      <c r="C14" s="4" t="s">
        <v>22</v>
      </c>
      <c r="D14" s="4">
        <v>1</v>
      </c>
      <c r="E14" s="4" t="s">
        <v>22</v>
      </c>
      <c r="F14" s="5" t="s">
        <v>109</v>
      </c>
    </row>
    <row r="15" spans="1:6" ht="18" customHeight="1" x14ac:dyDescent="0.2">
      <c r="A15" s="4" t="s">
        <v>39</v>
      </c>
      <c r="B15" s="4">
        <v>4</v>
      </c>
      <c r="C15" s="5" t="s">
        <v>21</v>
      </c>
      <c r="D15" s="4">
        <v>4</v>
      </c>
      <c r="E15" s="5" t="s">
        <v>21</v>
      </c>
      <c r="F15" s="5" t="s">
        <v>110</v>
      </c>
    </row>
    <row r="16" spans="1:6" ht="39.75" customHeight="1" x14ac:dyDescent="0.2">
      <c r="A16" s="4" t="s">
        <v>40</v>
      </c>
      <c r="B16" s="4">
        <v>6</v>
      </c>
      <c r="C16" s="4" t="s">
        <v>21</v>
      </c>
      <c r="D16" s="4">
        <v>2</v>
      </c>
      <c r="E16" s="4" t="s">
        <v>22</v>
      </c>
      <c r="F16" s="5" t="s">
        <v>111</v>
      </c>
    </row>
    <row r="17" spans="1:6" ht="20.25" customHeight="1" x14ac:dyDescent="0.2">
      <c r="A17" s="4" t="s">
        <v>41</v>
      </c>
      <c r="B17" s="4" t="s">
        <v>26</v>
      </c>
      <c r="C17" s="4" t="s">
        <v>21</v>
      </c>
      <c r="D17" s="4" t="s">
        <v>26</v>
      </c>
      <c r="E17" s="4" t="s">
        <v>21</v>
      </c>
      <c r="F17" s="5" t="s">
        <v>112</v>
      </c>
    </row>
    <row r="18" spans="1:6" ht="17" x14ac:dyDescent="0.2">
      <c r="A18" s="3" t="s">
        <v>94</v>
      </c>
      <c r="B18" s="27">
        <f>SUM(B2:B5,B8:B11,B14:B16)</f>
        <v>85</v>
      </c>
      <c r="C18" s="5"/>
      <c r="D18" s="5">
        <f>SUM(D2:D5,D8:D11,D14:D16)</f>
        <v>88</v>
      </c>
      <c r="E18" s="5"/>
      <c r="F18"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0CF95-E537-4C04-883E-4725CA73D755}">
  <dimension ref="A1:L21"/>
  <sheetViews>
    <sheetView workbookViewId="0">
      <selection activeCell="L5" sqref="L5"/>
    </sheetView>
  </sheetViews>
  <sheetFormatPr baseColWidth="10" defaultColWidth="8.83203125" defaultRowHeight="16" x14ac:dyDescent="0.2"/>
  <cols>
    <col min="1" max="1" width="36" customWidth="1"/>
    <col min="2" max="2" width="13" customWidth="1"/>
    <col min="3" max="3" width="13.6640625" customWidth="1"/>
    <col min="4" max="4" width="12.6640625" customWidth="1"/>
    <col min="5" max="5" width="14.33203125" customWidth="1"/>
    <col min="6" max="7" width="27.33203125" customWidth="1"/>
    <col min="11" max="11" width="10.33203125" bestFit="1" customWidth="1"/>
  </cols>
  <sheetData>
    <row r="1" spans="1:12" ht="34" x14ac:dyDescent="0.2">
      <c r="A1" s="9" t="s">
        <v>0</v>
      </c>
      <c r="B1" s="10" t="s">
        <v>30</v>
      </c>
      <c r="C1" s="10" t="s">
        <v>4</v>
      </c>
      <c r="D1" s="10" t="s">
        <v>3</v>
      </c>
      <c r="E1" s="10" t="s">
        <v>4</v>
      </c>
      <c r="F1" s="16" t="s">
        <v>85</v>
      </c>
      <c r="G1" s="35" t="s">
        <v>113</v>
      </c>
      <c r="H1" s="29" t="s">
        <v>82</v>
      </c>
      <c r="I1" s="13" t="s">
        <v>15</v>
      </c>
      <c r="J1" s="13" t="s">
        <v>16</v>
      </c>
      <c r="K1" t="s">
        <v>17</v>
      </c>
      <c r="L1" t="s">
        <v>114</v>
      </c>
    </row>
    <row r="2" spans="1:12" ht="17" x14ac:dyDescent="0.2">
      <c r="A2" s="4" t="s">
        <v>20</v>
      </c>
      <c r="B2" s="5">
        <v>4</v>
      </c>
      <c r="C2" s="5" t="s">
        <v>22</v>
      </c>
      <c r="D2" s="5">
        <v>10</v>
      </c>
      <c r="E2" s="5" t="s">
        <v>22</v>
      </c>
      <c r="F2" s="15" t="s">
        <v>115</v>
      </c>
      <c r="G2" s="32">
        <v>2</v>
      </c>
      <c r="H2" s="30">
        <v>0.75</v>
      </c>
      <c r="I2" s="14">
        <v>0.36930000000000002</v>
      </c>
      <c r="J2" s="14">
        <v>1</v>
      </c>
      <c r="K2">
        <v>2.95</v>
      </c>
    </row>
    <row r="3" spans="1:12" ht="51" x14ac:dyDescent="0.2">
      <c r="A3" s="4" t="s">
        <v>24</v>
      </c>
      <c r="B3" s="5">
        <v>12</v>
      </c>
      <c r="C3" s="5" t="s">
        <v>22</v>
      </c>
      <c r="D3" s="5">
        <v>25</v>
      </c>
      <c r="E3" s="5" t="s">
        <v>21</v>
      </c>
      <c r="F3" s="15" t="s">
        <v>116</v>
      </c>
      <c r="G3" s="32">
        <v>1</v>
      </c>
      <c r="H3" s="30">
        <v>0.5</v>
      </c>
      <c r="I3" s="14">
        <v>9.4500000000000001E-2</v>
      </c>
      <c r="J3" s="14">
        <v>0.90549999999999997</v>
      </c>
      <c r="K3">
        <v>8</v>
      </c>
    </row>
    <row r="4" spans="1:12" ht="51" x14ac:dyDescent="0.2">
      <c r="A4" s="4" t="s">
        <v>25</v>
      </c>
      <c r="B4" s="5">
        <v>12</v>
      </c>
      <c r="C4" s="5" t="s">
        <v>22</v>
      </c>
      <c r="D4" s="5">
        <v>34</v>
      </c>
      <c r="E4" s="5" t="s">
        <v>21</v>
      </c>
      <c r="F4" s="15" t="s">
        <v>117</v>
      </c>
      <c r="G4" s="32">
        <v>1</v>
      </c>
      <c r="H4" s="30">
        <v>0.5</v>
      </c>
      <c r="I4" s="14">
        <v>9.4500000000000001E-2</v>
      </c>
      <c r="J4" s="14">
        <v>0.90549999999999997</v>
      </c>
      <c r="K4">
        <v>8</v>
      </c>
    </row>
    <row r="5" spans="1:12" ht="68" x14ac:dyDescent="0.2">
      <c r="A5" s="17" t="s">
        <v>28</v>
      </c>
      <c r="B5" s="33">
        <v>33</v>
      </c>
      <c r="C5" s="33" t="s">
        <v>21</v>
      </c>
      <c r="D5" s="33">
        <v>66</v>
      </c>
      <c r="E5" s="33" t="s">
        <v>21</v>
      </c>
      <c r="F5" s="18" t="s">
        <v>118</v>
      </c>
      <c r="G5" s="34">
        <v>0</v>
      </c>
      <c r="H5" s="31">
        <v>0.25</v>
      </c>
      <c r="I5" s="19">
        <v>0</v>
      </c>
      <c r="J5" s="19">
        <v>0.63070000000000004</v>
      </c>
      <c r="K5">
        <v>4</v>
      </c>
    </row>
    <row r="6" spans="1:12" x14ac:dyDescent="0.2">
      <c r="A6" s="1"/>
      <c r="B6" s="1"/>
      <c r="C6" s="1"/>
      <c r="D6" s="1"/>
      <c r="E6" s="1"/>
      <c r="F6" s="1"/>
      <c r="G6" s="32"/>
      <c r="H6" s="30"/>
      <c r="I6" s="14"/>
      <c r="J6" s="14"/>
    </row>
    <row r="7" spans="1:12" ht="34" x14ac:dyDescent="0.2">
      <c r="A7" s="9" t="s">
        <v>29</v>
      </c>
      <c r="B7" s="10" t="s">
        <v>30</v>
      </c>
      <c r="C7" s="10" t="s">
        <v>4</v>
      </c>
      <c r="D7" s="10" t="s">
        <v>3</v>
      </c>
      <c r="E7" s="10" t="s">
        <v>4</v>
      </c>
      <c r="F7" s="16" t="s">
        <v>85</v>
      </c>
      <c r="G7" s="35" t="s">
        <v>113</v>
      </c>
      <c r="H7" s="29" t="s">
        <v>82</v>
      </c>
      <c r="I7" s="13" t="s">
        <v>15</v>
      </c>
      <c r="J7" s="13" t="s">
        <v>16</v>
      </c>
    </row>
    <row r="8" spans="1:12" ht="34" x14ac:dyDescent="0.2">
      <c r="A8" s="4" t="s">
        <v>31</v>
      </c>
      <c r="B8" s="5">
        <v>5</v>
      </c>
      <c r="C8" s="5" t="s">
        <v>22</v>
      </c>
      <c r="D8" s="5">
        <v>12</v>
      </c>
      <c r="E8" s="5" t="s">
        <v>22</v>
      </c>
      <c r="F8" s="15"/>
      <c r="G8" s="32">
        <v>2</v>
      </c>
      <c r="H8" s="30">
        <v>0.75</v>
      </c>
      <c r="I8" s="14">
        <v>0.36930000000000002</v>
      </c>
      <c r="J8" s="14">
        <v>1</v>
      </c>
      <c r="K8">
        <v>9</v>
      </c>
    </row>
    <row r="9" spans="1:12" ht="34" x14ac:dyDescent="0.2">
      <c r="A9" s="4" t="s">
        <v>33</v>
      </c>
      <c r="B9" s="5">
        <v>12</v>
      </c>
      <c r="C9" s="5" t="s">
        <v>22</v>
      </c>
      <c r="D9" s="5">
        <v>6</v>
      </c>
      <c r="E9" s="5" t="s">
        <v>22</v>
      </c>
      <c r="F9" s="15"/>
      <c r="G9" s="32">
        <v>2</v>
      </c>
      <c r="H9" s="30">
        <v>0.75</v>
      </c>
      <c r="I9" s="14">
        <v>0.36930000000000002</v>
      </c>
      <c r="J9" s="14">
        <v>1</v>
      </c>
      <c r="K9">
        <v>1.73</v>
      </c>
    </row>
    <row r="10" spans="1:12" ht="17" x14ac:dyDescent="0.2">
      <c r="A10" s="4" t="s">
        <v>34</v>
      </c>
      <c r="B10" s="5">
        <v>2</v>
      </c>
      <c r="C10" s="5" t="s">
        <v>22</v>
      </c>
      <c r="D10" s="5">
        <v>2</v>
      </c>
      <c r="E10" s="5" t="s">
        <v>22</v>
      </c>
      <c r="F10" s="15"/>
      <c r="G10" s="32">
        <v>2</v>
      </c>
      <c r="H10" s="30">
        <v>0.75</v>
      </c>
      <c r="I10" s="14">
        <v>0.36930000000000002</v>
      </c>
      <c r="J10" s="14">
        <v>1</v>
      </c>
      <c r="K10">
        <v>2.16</v>
      </c>
    </row>
    <row r="11" spans="1:12" ht="51" x14ac:dyDescent="0.2">
      <c r="A11" s="17" t="s">
        <v>36</v>
      </c>
      <c r="B11" s="33">
        <v>17</v>
      </c>
      <c r="C11" s="33" t="s">
        <v>21</v>
      </c>
      <c r="D11" s="33">
        <v>16</v>
      </c>
      <c r="E11" s="33" t="s">
        <v>21</v>
      </c>
      <c r="F11" s="18" t="s">
        <v>119</v>
      </c>
      <c r="G11" s="34">
        <v>0</v>
      </c>
      <c r="H11" s="31">
        <v>0.25</v>
      </c>
      <c r="I11" s="19">
        <v>0</v>
      </c>
      <c r="J11" s="19">
        <v>0.63070000000000004</v>
      </c>
      <c r="K11">
        <v>0.8</v>
      </c>
    </row>
    <row r="12" spans="1:12" x14ac:dyDescent="0.2">
      <c r="A12" s="1"/>
      <c r="B12" s="1"/>
      <c r="C12" s="1"/>
      <c r="D12" s="1"/>
      <c r="E12" s="1"/>
      <c r="F12" s="1"/>
      <c r="G12" s="32"/>
      <c r="H12" s="30"/>
      <c r="I12" s="14"/>
      <c r="J12" s="14"/>
    </row>
    <row r="13" spans="1:12" ht="34" x14ac:dyDescent="0.2">
      <c r="A13" s="10" t="s">
        <v>37</v>
      </c>
      <c r="B13" s="10" t="s">
        <v>30</v>
      </c>
      <c r="C13" s="10" t="s">
        <v>4</v>
      </c>
      <c r="D13" s="10" t="s">
        <v>3</v>
      </c>
      <c r="E13" s="10" t="s">
        <v>4</v>
      </c>
      <c r="F13" s="16" t="s">
        <v>85</v>
      </c>
      <c r="G13" s="35" t="s">
        <v>113</v>
      </c>
      <c r="H13" s="29" t="s">
        <v>82</v>
      </c>
      <c r="I13" s="13" t="s">
        <v>15</v>
      </c>
      <c r="J13" s="13" t="s">
        <v>16</v>
      </c>
    </row>
    <row r="14" spans="1:12" ht="17" x14ac:dyDescent="0.2">
      <c r="A14" s="4" t="s">
        <v>38</v>
      </c>
      <c r="B14" s="5">
        <v>2</v>
      </c>
      <c r="C14" s="5" t="s">
        <v>22</v>
      </c>
      <c r="D14" s="5">
        <v>7</v>
      </c>
      <c r="E14" s="5" t="s">
        <v>22</v>
      </c>
      <c r="F14" s="15"/>
      <c r="G14" s="32">
        <v>2</v>
      </c>
      <c r="H14" s="30">
        <v>0.75</v>
      </c>
      <c r="I14" s="14">
        <v>0.36930000000000002</v>
      </c>
      <c r="J14" s="14">
        <v>1</v>
      </c>
      <c r="K14">
        <v>2.86</v>
      </c>
    </row>
    <row r="15" spans="1:12" ht="17" x14ac:dyDescent="0.2">
      <c r="A15" s="4" t="s">
        <v>39</v>
      </c>
      <c r="B15" s="5">
        <v>3</v>
      </c>
      <c r="C15" s="5" t="s">
        <v>22</v>
      </c>
      <c r="D15" s="5">
        <v>2</v>
      </c>
      <c r="E15" s="5" t="s">
        <v>22</v>
      </c>
      <c r="F15" s="15"/>
      <c r="G15" s="32">
        <v>2</v>
      </c>
      <c r="H15" s="30">
        <v>0.75</v>
      </c>
      <c r="I15" s="14">
        <v>0.36930000000000002</v>
      </c>
      <c r="J15" s="14">
        <v>1</v>
      </c>
      <c r="K15">
        <v>2.65</v>
      </c>
    </row>
    <row r="16" spans="1:12" ht="17" x14ac:dyDescent="0.2">
      <c r="A16" s="4" t="s">
        <v>40</v>
      </c>
      <c r="B16" s="5">
        <v>21</v>
      </c>
      <c r="C16" s="5" t="s">
        <v>22</v>
      </c>
      <c r="D16" s="5">
        <v>19</v>
      </c>
      <c r="E16" s="5" t="s">
        <v>120</v>
      </c>
      <c r="F16" s="15"/>
      <c r="G16" s="32">
        <v>2</v>
      </c>
      <c r="H16" s="30">
        <v>0.75</v>
      </c>
      <c r="I16" s="14">
        <v>0.36930000000000002</v>
      </c>
      <c r="J16" s="14">
        <v>1</v>
      </c>
      <c r="K16">
        <v>11</v>
      </c>
    </row>
    <row r="17" spans="1:11" ht="34" x14ac:dyDescent="0.2">
      <c r="A17" s="17" t="s">
        <v>41</v>
      </c>
      <c r="B17" s="33" t="s">
        <v>26</v>
      </c>
      <c r="C17" s="33" t="s">
        <v>21</v>
      </c>
      <c r="D17" s="33" t="s">
        <v>26</v>
      </c>
      <c r="E17" s="33" t="s">
        <v>21</v>
      </c>
      <c r="F17" s="18" t="s">
        <v>121</v>
      </c>
      <c r="G17" s="34">
        <v>0</v>
      </c>
      <c r="H17" s="31">
        <v>0.25</v>
      </c>
      <c r="I17" s="19">
        <v>0</v>
      </c>
      <c r="J17" s="19">
        <v>0.63070000000000004</v>
      </c>
      <c r="K17" t="s">
        <v>26</v>
      </c>
    </row>
    <row r="18" spans="1:11" ht="17" x14ac:dyDescent="0.2">
      <c r="A18" s="10" t="s">
        <v>94</v>
      </c>
      <c r="B18" s="36">
        <f>SUM(B2:B5,B8:B11,B14:B16)</f>
        <v>123</v>
      </c>
      <c r="C18" s="10"/>
      <c r="D18" s="10">
        <f>SUM(D2:D5,D8:D11,D14:D16)</f>
        <v>199</v>
      </c>
      <c r="E18" s="10"/>
      <c r="F18" s="16"/>
      <c r="G18" s="35"/>
      <c r="H18" s="37"/>
      <c r="I18" s="37"/>
      <c r="J18" s="37"/>
    </row>
    <row r="20" spans="1:11" x14ac:dyDescent="0.2">
      <c r="A20" s="37" t="s">
        <v>122</v>
      </c>
    </row>
    <row r="21" spans="1:11" x14ac:dyDescent="0.2">
      <c r="A21" s="19" t="s">
        <v>123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631AC-292D-2E41-8250-999F2652D274}">
  <dimension ref="A1:F18"/>
  <sheetViews>
    <sheetView workbookViewId="0">
      <selection activeCell="B11" sqref="B11"/>
    </sheetView>
  </sheetViews>
  <sheetFormatPr baseColWidth="10" defaultColWidth="10.83203125" defaultRowHeight="16" x14ac:dyDescent="0.2"/>
  <cols>
    <col min="1" max="1" width="57.5" style="1" customWidth="1"/>
    <col min="2" max="2" width="15.33203125" style="1" customWidth="1"/>
    <col min="3" max="3" width="15" style="1" customWidth="1"/>
    <col min="4" max="4" width="15.33203125" style="1" customWidth="1"/>
    <col min="5" max="5" width="15" style="1" customWidth="1"/>
    <col min="6" max="6" width="21.83203125" style="1" customWidth="1"/>
    <col min="7" max="16384" width="10.83203125" style="1"/>
  </cols>
  <sheetData>
    <row r="1" spans="1:6" ht="17" x14ac:dyDescent="0.2">
      <c r="A1" s="2" t="s">
        <v>124</v>
      </c>
      <c r="B1" s="3" t="s">
        <v>30</v>
      </c>
      <c r="C1" s="3" t="s">
        <v>4</v>
      </c>
      <c r="D1" s="3" t="s">
        <v>3</v>
      </c>
      <c r="E1" s="3" t="s">
        <v>4</v>
      </c>
      <c r="F1" s="3" t="s">
        <v>85</v>
      </c>
    </row>
    <row r="2" spans="1:6" ht="51" x14ac:dyDescent="0.2">
      <c r="A2" s="4" t="s">
        <v>20</v>
      </c>
      <c r="B2" s="5" t="s">
        <v>23</v>
      </c>
      <c r="C2" s="5" t="s">
        <v>21</v>
      </c>
      <c r="D2" s="5">
        <v>5</v>
      </c>
      <c r="E2" s="5" t="s">
        <v>125</v>
      </c>
      <c r="F2" s="5" t="s">
        <v>126</v>
      </c>
    </row>
    <row r="3" spans="1:6" ht="34" x14ac:dyDescent="0.2">
      <c r="A3" s="4" t="s">
        <v>24</v>
      </c>
      <c r="B3" s="5">
        <v>20</v>
      </c>
      <c r="C3" s="5" t="s">
        <v>21</v>
      </c>
      <c r="D3" s="5">
        <v>7</v>
      </c>
      <c r="E3" s="5" t="s">
        <v>127</v>
      </c>
      <c r="F3" s="5" t="s">
        <v>128</v>
      </c>
    </row>
    <row r="4" spans="1:6" ht="34" x14ac:dyDescent="0.2">
      <c r="A4" s="4" t="s">
        <v>25</v>
      </c>
      <c r="B4" s="5">
        <v>8</v>
      </c>
      <c r="C4" s="5" t="s">
        <v>22</v>
      </c>
      <c r="D4" s="5">
        <v>30</v>
      </c>
      <c r="E4" s="5" t="s">
        <v>21</v>
      </c>
      <c r="F4" s="5" t="s">
        <v>129</v>
      </c>
    </row>
    <row r="5" spans="1:6" ht="34" x14ac:dyDescent="0.2">
      <c r="A5" s="4" t="s">
        <v>28</v>
      </c>
      <c r="B5" s="5">
        <v>5</v>
      </c>
      <c r="C5" s="5" t="s">
        <v>22</v>
      </c>
      <c r="D5" s="5">
        <v>35</v>
      </c>
      <c r="E5" s="5" t="s">
        <v>21</v>
      </c>
      <c r="F5" s="5" t="s">
        <v>130</v>
      </c>
    </row>
    <row r="7" spans="1:6" ht="17" x14ac:dyDescent="0.2">
      <c r="A7" s="2" t="s">
        <v>29</v>
      </c>
      <c r="B7" s="3" t="s">
        <v>30</v>
      </c>
      <c r="C7" s="3" t="s">
        <v>4</v>
      </c>
      <c r="D7" s="3" t="s">
        <v>3</v>
      </c>
      <c r="E7" s="3" t="s">
        <v>4</v>
      </c>
      <c r="F7" s="3" t="s">
        <v>85</v>
      </c>
    </row>
    <row r="8" spans="1:6" ht="68" x14ac:dyDescent="0.2">
      <c r="A8" s="4" t="s">
        <v>31</v>
      </c>
      <c r="B8" s="5">
        <v>24</v>
      </c>
      <c r="C8" s="5" t="s">
        <v>22</v>
      </c>
      <c r="D8" s="5">
        <v>12</v>
      </c>
      <c r="E8" s="5" t="s">
        <v>22</v>
      </c>
      <c r="F8" s="5" t="s">
        <v>131</v>
      </c>
    </row>
    <row r="9" spans="1:6" ht="51" x14ac:dyDescent="0.2">
      <c r="A9" s="4" t="s">
        <v>33</v>
      </c>
      <c r="B9" s="5" t="s">
        <v>23</v>
      </c>
      <c r="C9" s="5" t="s">
        <v>32</v>
      </c>
      <c r="D9" s="5">
        <v>2</v>
      </c>
      <c r="E9" s="5" t="s">
        <v>22</v>
      </c>
      <c r="F9" s="5" t="s">
        <v>132</v>
      </c>
    </row>
    <row r="10" spans="1:6" ht="17" x14ac:dyDescent="0.2">
      <c r="A10" s="4" t="s">
        <v>34</v>
      </c>
      <c r="B10" s="5">
        <v>2</v>
      </c>
      <c r="C10" s="5" t="s">
        <v>32</v>
      </c>
      <c r="D10" s="5">
        <v>1</v>
      </c>
      <c r="E10" s="5" t="s">
        <v>22</v>
      </c>
      <c r="F10" s="5"/>
    </row>
    <row r="11" spans="1:6" ht="17" x14ac:dyDescent="0.2">
      <c r="A11" s="4" t="s">
        <v>36</v>
      </c>
      <c r="B11" s="5" t="s">
        <v>23</v>
      </c>
      <c r="C11" s="5" t="s">
        <v>32</v>
      </c>
      <c r="D11" s="5">
        <v>2</v>
      </c>
      <c r="E11" s="5" t="s">
        <v>22</v>
      </c>
      <c r="F11" s="5"/>
    </row>
    <row r="13" spans="1:6" ht="17" x14ac:dyDescent="0.2">
      <c r="A13" s="3" t="s">
        <v>37</v>
      </c>
      <c r="B13" s="3" t="s">
        <v>30</v>
      </c>
      <c r="C13" s="3" t="s">
        <v>4</v>
      </c>
      <c r="D13" s="3" t="s">
        <v>3</v>
      </c>
      <c r="E13" s="3" t="s">
        <v>4</v>
      </c>
      <c r="F13" s="3" t="s">
        <v>85</v>
      </c>
    </row>
    <row r="14" spans="1:6" ht="17" x14ac:dyDescent="0.2">
      <c r="A14" s="4" t="s">
        <v>38</v>
      </c>
      <c r="B14" s="5">
        <v>3</v>
      </c>
      <c r="C14" s="5" t="s">
        <v>22</v>
      </c>
      <c r="D14" s="5">
        <v>2</v>
      </c>
      <c r="E14" s="5" t="s">
        <v>22</v>
      </c>
      <c r="F14" s="5"/>
    </row>
    <row r="15" spans="1:6" ht="17" x14ac:dyDescent="0.2">
      <c r="A15" s="4" t="s">
        <v>39</v>
      </c>
      <c r="B15" s="5">
        <v>4</v>
      </c>
      <c r="C15" s="5" t="s">
        <v>22</v>
      </c>
      <c r="D15" s="5">
        <v>3</v>
      </c>
      <c r="E15" s="8" t="s">
        <v>22</v>
      </c>
      <c r="F15" s="5"/>
    </row>
    <row r="16" spans="1:6" ht="68" x14ac:dyDescent="0.2">
      <c r="A16" s="4" t="s">
        <v>40</v>
      </c>
      <c r="B16" s="5" t="s">
        <v>27</v>
      </c>
      <c r="C16" s="8" t="s">
        <v>21</v>
      </c>
      <c r="D16" s="5" t="s">
        <v>27</v>
      </c>
      <c r="E16" s="5" t="s">
        <v>21</v>
      </c>
      <c r="F16" s="5" t="s">
        <v>133</v>
      </c>
    </row>
    <row r="17" spans="1:6" ht="34" x14ac:dyDescent="0.2">
      <c r="A17" s="4" t="s">
        <v>41</v>
      </c>
      <c r="B17" s="5" t="s">
        <v>27</v>
      </c>
      <c r="C17" s="5" t="s">
        <v>21</v>
      </c>
      <c r="D17" s="5" t="s">
        <v>42</v>
      </c>
      <c r="E17" s="5" t="s">
        <v>21</v>
      </c>
      <c r="F17" s="5" t="s">
        <v>134</v>
      </c>
    </row>
    <row r="18" spans="1:6" ht="17" x14ac:dyDescent="0.2">
      <c r="A18" s="3" t="s">
        <v>94</v>
      </c>
      <c r="B18" s="27">
        <f>SUM(B2:B5,B8:B11,B14:B16)</f>
        <v>66</v>
      </c>
      <c r="C18" s="5"/>
      <c r="D18" s="5">
        <f>SUM(D2:D5,D8:D11,D14:D16)</f>
        <v>99</v>
      </c>
      <c r="E18" s="5"/>
      <c r="F18"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Performance_Matrix</vt:lpstr>
      <vt:lpstr>Best_estimate</vt:lpstr>
      <vt:lpstr>70percent</vt:lpstr>
      <vt:lpstr>Novice-Expert-Calculation</vt:lpstr>
      <vt:lpstr>Sheet1</vt:lpstr>
      <vt:lpstr>Metrix</vt:lpstr>
      <vt:lpstr>Chandan</vt:lpstr>
      <vt:lpstr>Kavya</vt:lpstr>
      <vt:lpstr>Nandini</vt:lpstr>
      <vt:lpstr>Unnati</vt:lpstr>
      <vt:lpstr>Taseen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Chandan Jonnavithula</dc:creator>
  <cp:keywords/>
  <dc:description/>
  <cp:lastModifiedBy>Taseen, FNU</cp:lastModifiedBy>
  <cp:revision/>
  <dcterms:created xsi:type="dcterms:W3CDTF">2023-10-03T01:05:56Z</dcterms:created>
  <dcterms:modified xsi:type="dcterms:W3CDTF">2025-04-14T11:42:09Z</dcterms:modified>
  <cp:category/>
  <cp:contentStatus/>
</cp:coreProperties>
</file>